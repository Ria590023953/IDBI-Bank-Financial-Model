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Inputs" sheetId="1" state="visible" r:id="rId1"/>
    <sheet name="3-Statements Model" sheetId="2" state="visible" r:id="rId2"/>
    <sheet name="DCF Valuation" sheetId="3" state="visible" r:id="rId3"/>
    <sheet name="Trading Comps" sheetId="4" state="visible" r:id="rId4"/>
    <sheet name="Scenario Analysis" sheetId="5" state="visible" r:id="rId5"/>
    <sheet name="Sensitivity Analysis" sheetId="6" state="visible" r:id="rId6"/>
    <sheet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00000"/>
    <numFmt numFmtId="166" formatCode="0.00&quot;x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CC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b val="1"/>
      <color rgb="001F4E79"/>
      <sz val="14"/>
    </font>
    <font>
      <name val="Calibri"/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FFFE0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E4B5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6" applyAlignment="1" pivotButton="0" quotePrefix="0" xfId="0">
      <alignment horizontal="left" vertical="center"/>
    </xf>
    <xf numFmtId="164" fontId="3" fillId="4" borderId="6" applyAlignment="1" pivotButton="0" quotePrefix="0" xfId="0">
      <alignment horizontal="right" vertical="center"/>
    </xf>
    <xf numFmtId="4" fontId="3" fillId="4" borderId="6" applyAlignment="1" pivotButton="0" quotePrefix="0" xfId="0">
      <alignment horizontal="right" vertical="center"/>
    </xf>
    <xf numFmtId="2" fontId="3" fillId="4" borderId="6" applyAlignment="1" pivotButton="0" quotePrefix="0" xfId="0">
      <alignment horizontal="right" vertical="center"/>
    </xf>
    <xf numFmtId="0" fontId="5" fillId="2" borderId="6" applyAlignment="1" pivotButton="0" quotePrefix="0" xfId="0">
      <alignment horizontal="center" vertical="center" wrapText="1"/>
    </xf>
    <xf numFmtId="3" fontId="3" fillId="4" borderId="6" applyAlignment="1" pivotButton="0" quotePrefix="0" xfId="0">
      <alignment horizontal="right" vertical="center"/>
    </xf>
    <xf numFmtId="10" fontId="3" fillId="4" borderId="6" applyAlignment="1" pivotButton="0" quotePrefix="0" xfId="0">
      <alignment horizontal="right" vertical="center"/>
    </xf>
    <xf numFmtId="0" fontId="2" fillId="0" borderId="6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0" fontId="4" fillId="6" borderId="6" applyAlignment="1" pivotButton="0" quotePrefix="0" xfId="0">
      <alignment horizontal="right"/>
    </xf>
    <xf numFmtId="3" fontId="4" fillId="6" borderId="6" applyAlignment="1" pivotButton="0" quotePrefix="0" xfId="0">
      <alignment horizontal="right" vertical="center"/>
    </xf>
    <xf numFmtId="3" fontId="4" fillId="7" borderId="6" applyAlignment="1" pivotButton="0" quotePrefix="0" xfId="0">
      <alignment horizontal="right" vertical="center"/>
    </xf>
    <xf numFmtId="10" fontId="4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164" fontId="4" fillId="6" borderId="6" applyAlignment="1" pivotButton="0" quotePrefix="0" xfId="0">
      <alignment horizontal="right" vertical="center"/>
    </xf>
    <xf numFmtId="10" fontId="4" fillId="7" borderId="6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166" fontId="4" fillId="6" borderId="6" applyAlignment="1" pivotButton="0" quotePrefix="0" xfId="0">
      <alignment horizontal="right" vertical="center"/>
    </xf>
    <xf numFmtId="166" fontId="4" fillId="7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49" fontId="6" fillId="5" borderId="1" applyAlignment="1" pivotButton="0" quotePrefix="0" xfId="0">
      <alignment horizontal="center"/>
    </xf>
    <xf numFmtId="0" fontId="4" fillId="0" borderId="0" pivotButton="0" quotePrefix="0" xfId="0"/>
    <xf numFmtId="0" fontId="2" fillId="3" borderId="6" applyAlignment="1" pivotButton="0" quotePrefix="0" xfId="0">
      <alignment horizontal="center"/>
    </xf>
    <xf numFmtId="10" fontId="5" fillId="2" borderId="6" applyAlignment="1" pivotButton="0" quotePrefix="0" xfId="0">
      <alignment horizontal="center"/>
    </xf>
    <xf numFmtId="10" fontId="5" fillId="8" borderId="6" applyAlignment="1" pivotButton="0" quotePrefix="0" xfId="0">
      <alignment horizontal="center"/>
    </xf>
    <xf numFmtId="164" fontId="4" fillId="6" borderId="6" applyAlignment="1" pivotButton="0" quotePrefix="0" xfId="0">
      <alignment horizontal="right"/>
    </xf>
    <xf numFmtId="164" fontId="4" fillId="9" borderId="6" applyAlignment="1" pivotButton="0" quotePrefix="0" xfId="0">
      <alignment horizontal="right"/>
    </xf>
    <xf numFmtId="164" fontId="2" fillId="10" borderId="6" applyAlignment="1" pivotButton="0" quotePrefix="0" xfId="0">
      <alignment horizontal="right"/>
    </xf>
    <xf numFmtId="0" fontId="0" fillId="0" borderId="6" pivotButton="0" quotePrefix="0" xfId="0"/>
    <xf numFmtId="164" fontId="7" fillId="4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164" fontId="4" fillId="7" borderId="6" applyAlignment="1" pivotButton="0" quotePrefix="0" xfId="0">
      <alignment horizontal="right"/>
    </xf>
    <xf numFmtId="3" fontId="4" fillId="6" borderId="6" applyAlignment="1" pivotButton="0" quotePrefix="0" xfId="0">
      <alignment horizontal="right"/>
    </xf>
    <xf numFmtId="0" fontId="8" fillId="0" borderId="6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IDBI BANK – FINANCIAL MODEL INPUTS</t>
        </is>
      </c>
      <c r="B1" s="2" t="n"/>
      <c r="C1" s="2" t="n"/>
      <c r="D1" s="2" t="n"/>
      <c r="E1" s="3" t="n"/>
    </row>
    <row r="3">
      <c r="A3" s="4" t="inlineStr">
        <is>
          <t>LEGEND</t>
        </is>
      </c>
      <c r="B3" s="2" t="n"/>
      <c r="C3" s="3" t="n"/>
    </row>
    <row r="4">
      <c r="A4" s="5" t="inlineStr">
        <is>
          <t>Blue Font  =  Hardcoded Input</t>
        </is>
      </c>
      <c r="B4" s="6" t="inlineStr">
        <is>
          <t>Black Font  =  Formula / Calculation</t>
        </is>
      </c>
    </row>
    <row r="6">
      <c r="A6" s="4" t="inlineStr">
        <is>
          <t>CURRENT VALUATION (April 2026)</t>
        </is>
      </c>
      <c r="B6" s="2" t="n"/>
      <c r="C6" s="3" t="n"/>
    </row>
    <row r="7">
      <c r="A7" s="7" t="inlineStr">
        <is>
          <t>Stock Price (CMP) – ₹</t>
        </is>
      </c>
      <c r="B7" s="8" t="n">
        <v>69.55</v>
      </c>
    </row>
    <row r="8">
      <c r="A8" s="7" t="inlineStr">
        <is>
          <t>Market Cap – ₹ Crore</t>
        </is>
      </c>
      <c r="B8" s="9" t="n">
        <v>74782.96000000001</v>
      </c>
    </row>
    <row r="9">
      <c r="A9" s="7" t="inlineStr">
        <is>
          <t>Shares Outstanding – Billion</t>
        </is>
      </c>
      <c r="B9" s="9" t="n">
        <v>10.75</v>
      </c>
    </row>
    <row r="10">
      <c r="A10" s="7" t="inlineStr">
        <is>
          <t>52-Week High – ₹</t>
        </is>
      </c>
      <c r="B10" s="8" t="n">
        <v>118.38</v>
      </c>
    </row>
    <row r="11">
      <c r="A11" s="7" t="inlineStr">
        <is>
          <t>52-Week Low – ₹</t>
        </is>
      </c>
      <c r="B11" s="8" t="n">
        <v>61.01</v>
      </c>
    </row>
    <row r="12">
      <c r="A12" s="7" t="inlineStr">
        <is>
          <t>P/E Ratio</t>
        </is>
      </c>
      <c r="B12" s="10" t="n">
        <v>8.050000000000001</v>
      </c>
    </row>
    <row r="13">
      <c r="A13" s="7" t="inlineStr">
        <is>
          <t>P/B Ratio</t>
        </is>
      </c>
      <c r="B13" s="10" t="n">
        <v>1.12</v>
      </c>
    </row>
    <row r="14">
      <c r="A14" s="7" t="inlineStr">
        <is>
          <t>EPS (TTM) – ₹</t>
        </is>
      </c>
      <c r="B14" s="8" t="n">
        <v>8.640000000000001</v>
      </c>
    </row>
    <row r="15">
      <c r="A15" s="7" t="inlineStr">
        <is>
          <t>Book Value per Share – ₹</t>
        </is>
      </c>
      <c r="B15" s="8" t="n">
        <v>65</v>
      </c>
    </row>
    <row r="17">
      <c r="A17" s="4" t="inlineStr">
        <is>
          <t>FY 2024-25 INCOME STATEMENT ACTUALS – ₹ Millions</t>
        </is>
      </c>
      <c r="B17" s="2" t="n"/>
      <c r="C17" s="2" t="n"/>
      <c r="D17" s="3" t="n"/>
    </row>
    <row r="18">
      <c r="A18" s="11" t="inlineStr">
        <is>
          <t>Line Item</t>
        </is>
      </c>
      <c r="B18" s="11" t="inlineStr">
        <is>
          <t>FY 2024-25</t>
        </is>
      </c>
      <c r="C18" s="11" t="inlineStr">
        <is>
          <t>FY 2023-24</t>
        </is>
      </c>
    </row>
    <row r="19">
      <c r="A19" s="7" t="inlineStr">
        <is>
          <t>Interest Income</t>
        </is>
      </c>
      <c r="B19" s="12" t="n">
        <v>289171</v>
      </c>
      <c r="C19" s="12" t="n">
        <v>264571</v>
      </c>
    </row>
    <row r="20">
      <c r="A20" s="7" t="inlineStr">
        <is>
          <t>Other Income</t>
        </is>
      </c>
      <c r="B20" s="12" t="n">
        <v>60000</v>
      </c>
      <c r="C20" s="12" t="n">
        <v>55000</v>
      </c>
    </row>
    <row r="21">
      <c r="A21" s="7" t="inlineStr">
        <is>
          <t>Total Income</t>
        </is>
      </c>
      <c r="B21" s="12" t="n">
        <v>349171</v>
      </c>
      <c r="C21" s="12" t="n">
        <v>319571</v>
      </c>
    </row>
    <row r="22">
      <c r="A22" s="7" t="inlineStr">
        <is>
          <t>Interest Expenses</t>
        </is>
      </c>
      <c r="B22" s="12" t="n">
        <v>142566</v>
      </c>
      <c r="C22" s="12" t="n">
        <v>132059</v>
      </c>
    </row>
    <row r="23">
      <c r="A23" s="7" t="inlineStr">
        <is>
          <t>Net Interest Income</t>
        </is>
      </c>
      <c r="B23" s="12" t="n">
        <v>146605</v>
      </c>
      <c r="C23" s="12" t="n">
        <v>142187</v>
      </c>
    </row>
    <row r="24">
      <c r="A24" s="7" t="inlineStr">
        <is>
          <t>Operating Expenses</t>
        </is>
      </c>
      <c r="B24" s="12" t="n">
        <v>86190</v>
      </c>
      <c r="C24" s="12" t="n">
        <v>83679</v>
      </c>
    </row>
    <row r="25">
      <c r="A25" s="7" t="inlineStr">
        <is>
          <t>Provisions &amp; Contingencies</t>
        </is>
      </c>
      <c r="B25" s="12" t="n">
        <v>31500</v>
      </c>
      <c r="C25" s="12" t="n">
        <v>33000</v>
      </c>
    </row>
    <row r="26">
      <c r="A26" s="7" t="inlineStr">
        <is>
          <t>Pre-Tax Profit</t>
        </is>
      </c>
      <c r="B26" s="12" t="n">
        <v>89915</v>
      </c>
      <c r="C26" s="12" t="n">
        <v>68508</v>
      </c>
    </row>
    <row r="27">
      <c r="A27" s="7" t="inlineStr">
        <is>
          <t>Tax</t>
        </is>
      </c>
      <c r="B27" s="12" t="n">
        <v>13608</v>
      </c>
      <c r="C27" s="12" t="n">
        <v>10000</v>
      </c>
    </row>
    <row r="28">
      <c r="A28" s="7" t="inlineStr">
        <is>
          <t>Net Profit After Tax</t>
        </is>
      </c>
      <c r="B28" s="12" t="n">
        <v>76307</v>
      </c>
      <c r="C28" s="12" t="n">
        <v>57850</v>
      </c>
    </row>
    <row r="30">
      <c r="A30" s="4" t="inlineStr">
        <is>
          <t>FY 2024-25 BALANCE SHEET – ₹ Crore</t>
        </is>
      </c>
      <c r="B30" s="2" t="n"/>
      <c r="C30" s="2" t="n"/>
      <c r="D30" s="3" t="n"/>
    </row>
    <row r="31">
      <c r="A31" s="11" t="inlineStr">
        <is>
          <t>Line Item</t>
        </is>
      </c>
      <c r="B31" s="11" t="inlineStr">
        <is>
          <t>FY 2024-25</t>
        </is>
      </c>
      <c r="C31" s="11" t="inlineStr">
        <is>
          <t>FY 2023-24</t>
        </is>
      </c>
    </row>
    <row r="32">
      <c r="A32" s="7" t="inlineStr">
        <is>
          <t>Total Assets</t>
        </is>
      </c>
      <c r="B32" s="12" t="n">
        <v>412962</v>
      </c>
      <c r="C32" s="12" t="n">
        <v>364755</v>
      </c>
    </row>
    <row r="33">
      <c r="A33" s="7" t="inlineStr">
        <is>
          <t>Cash &amp; Equivalents</t>
        </is>
      </c>
      <c r="B33" s="12" t="n">
        <v>35000</v>
      </c>
      <c r="C33" s="12" t="n">
        <v>28000</v>
      </c>
    </row>
    <row r="34">
      <c r="A34" s="7" t="inlineStr">
        <is>
          <t>Investments</t>
        </is>
      </c>
      <c r="B34" s="12" t="n">
        <v>120000</v>
      </c>
      <c r="C34" s="12" t="n">
        <v>110000</v>
      </c>
    </row>
    <row r="35">
      <c r="A35" s="7" t="inlineStr">
        <is>
          <t>Advances</t>
        </is>
      </c>
      <c r="B35" s="12" t="n">
        <v>218212</v>
      </c>
      <c r="C35" s="12" t="n">
        <v>188440</v>
      </c>
    </row>
    <row r="36">
      <c r="A36" s="7" t="inlineStr">
        <is>
          <t>Other Assets</t>
        </is>
      </c>
      <c r="B36" s="12" t="n">
        <v>39750</v>
      </c>
      <c r="C36" s="12" t="n">
        <v>38315</v>
      </c>
    </row>
    <row r="37">
      <c r="A37" s="7" t="inlineStr">
        <is>
          <t>Total Deposits</t>
        </is>
      </c>
      <c r="B37" s="12" t="n">
        <v>309975</v>
      </c>
      <c r="C37" s="12" t="n">
        <v>277295</v>
      </c>
    </row>
    <row r="38">
      <c r="A38" s="7" t="inlineStr">
        <is>
          <t>Borrowings</t>
        </is>
      </c>
      <c r="B38" s="12" t="n">
        <v>40000</v>
      </c>
      <c r="C38" s="12" t="n">
        <v>38000</v>
      </c>
    </row>
    <row r="39">
      <c r="A39" s="7" t="inlineStr">
        <is>
          <t>Other Liabilities</t>
        </is>
      </c>
      <c r="B39" s="12" t="n">
        <v>25800</v>
      </c>
      <c r="C39" s="12" t="n">
        <v>23000</v>
      </c>
    </row>
    <row r="40">
      <c r="A40" s="7" t="inlineStr">
        <is>
          <t>Total Equity</t>
        </is>
      </c>
      <c r="B40" s="12" t="n">
        <v>37187</v>
      </c>
      <c r="C40" s="12" t="n">
        <v>26460</v>
      </c>
    </row>
    <row r="41">
      <c r="A41" s="7" t="inlineStr">
        <is>
          <t>Paid-up Capital</t>
        </is>
      </c>
      <c r="B41" s="12" t="n">
        <v>10750</v>
      </c>
      <c r="C41" s="12" t="n">
        <v>10750</v>
      </c>
    </row>
    <row r="42">
      <c r="A42" s="7" t="inlineStr">
        <is>
          <t>Reserves &amp; Surplus</t>
        </is>
      </c>
      <c r="B42" s="12" t="n">
        <v>26437</v>
      </c>
      <c r="C42" s="12" t="n">
        <v>15710</v>
      </c>
    </row>
    <row r="44">
      <c r="A44" s="4" t="inlineStr">
        <is>
          <t>KEY RATIOS (FY 2024-25)</t>
        </is>
      </c>
      <c r="B44" s="2" t="n"/>
      <c r="C44" s="3" t="n"/>
    </row>
    <row r="45">
      <c r="A45" s="7" t="inlineStr">
        <is>
          <t>Return on Equity (ROE) %</t>
        </is>
      </c>
      <c r="B45" s="13" t="n">
        <v>0.2015</v>
      </c>
    </row>
    <row r="46">
      <c r="A46" s="7" t="inlineStr">
        <is>
          <t>Return on Assets (ROA) %</t>
        </is>
      </c>
      <c r="B46" s="13" t="n">
        <v>0.0198</v>
      </c>
    </row>
    <row r="47">
      <c r="A47" s="7" t="inlineStr">
        <is>
          <t>Net Interest Margin (NIM) %</t>
        </is>
      </c>
      <c r="B47" s="13" t="n">
        <v>0.044</v>
      </c>
    </row>
    <row r="48">
      <c r="A48" s="7" t="inlineStr">
        <is>
          <t>Cost to Income Ratio %</t>
        </is>
      </c>
      <c r="B48" s="13" t="n">
        <v>0.45</v>
      </c>
    </row>
    <row r="49">
      <c r="A49" s="7" t="inlineStr">
        <is>
          <t>Gross NPA %</t>
        </is>
      </c>
      <c r="B49" s="13" t="n">
        <v>0.0298</v>
      </c>
    </row>
    <row r="50">
      <c r="A50" s="7" t="inlineStr">
        <is>
          <t>Net NPA %</t>
        </is>
      </c>
      <c r="B50" s="13" t="n">
        <v>0.0015</v>
      </c>
    </row>
    <row r="51">
      <c r="A51" s="7" t="inlineStr">
        <is>
          <t>Capital Adequacy Ratio %</t>
        </is>
      </c>
      <c r="B51" s="13" t="n">
        <v>0.2505</v>
      </c>
    </row>
    <row r="52">
      <c r="A52" s="7" t="inlineStr">
        <is>
          <t>Net Profit Margin %</t>
        </is>
      </c>
      <c r="B52" s="13" t="n">
        <v>0.264</v>
      </c>
    </row>
    <row r="54">
      <c r="A54" s="4" t="inlineStr">
        <is>
          <t>ASSUMPTION DRIVERS</t>
        </is>
      </c>
      <c r="B54" s="2" t="n"/>
      <c r="C54" s="2" t="n"/>
      <c r="D54" s="2" t="n"/>
      <c r="E54" s="3" t="n"/>
    </row>
    <row r="55">
      <c r="A55" s="11" t="inlineStr">
        <is>
          <t>Driver</t>
        </is>
      </c>
      <c r="B55" s="11" t="inlineStr">
        <is>
          <t>Base Case</t>
        </is>
      </c>
      <c r="C55" s="11" t="inlineStr">
        <is>
          <t>Bull Case</t>
        </is>
      </c>
      <c r="D55" s="11" t="inlineStr">
        <is>
          <t>Bear Case</t>
        </is>
      </c>
    </row>
    <row r="56">
      <c r="A56" s="7" t="inlineStr">
        <is>
          <t>Interest Income Growth %</t>
        </is>
      </c>
      <c r="B56" s="13" t="n">
        <v>0.08500000000000001</v>
      </c>
      <c r="C56" s="13" t="n">
        <v>0.11</v>
      </c>
      <c r="D56" s="13" t="n">
        <v>0.05</v>
      </c>
    </row>
    <row r="57">
      <c r="A57" s="7" t="inlineStr">
        <is>
          <t>NII Growth %</t>
        </is>
      </c>
      <c r="B57" s="13" t="n">
        <v>0.08</v>
      </c>
      <c r="C57" s="13" t="n">
        <v>0.11</v>
      </c>
      <c r="D57" s="13" t="n">
        <v>0.05</v>
      </c>
    </row>
    <row r="58">
      <c r="A58" s="7" t="inlineStr">
        <is>
          <t>Other Income Growth %</t>
        </is>
      </c>
      <c r="B58" s="13" t="n">
        <v>0.07000000000000001</v>
      </c>
      <c r="C58" s="13" t="n">
        <v>0.09</v>
      </c>
      <c r="D58" s="13" t="n">
        <v>0.04</v>
      </c>
    </row>
    <row r="59">
      <c r="A59" s="7" t="inlineStr">
        <is>
          <t>Cost to Income Ratio %</t>
        </is>
      </c>
      <c r="B59" s="13" t="n">
        <v>0.45</v>
      </c>
      <c r="C59" s="13" t="n">
        <v>0.4</v>
      </c>
      <c r="D59" s="13" t="n">
        <v>0.5</v>
      </c>
    </row>
    <row r="60">
      <c r="A60" s="7" t="inlineStr">
        <is>
          <t>Cost of Deposits %</t>
        </is>
      </c>
      <c r="B60" s="13" t="n">
        <v>0.045</v>
      </c>
      <c r="C60" s="13" t="n">
        <v>0.042</v>
      </c>
      <c r="D60" s="13" t="n">
        <v>0.05</v>
      </c>
    </row>
    <row r="61">
      <c r="A61" s="7" t="inlineStr">
        <is>
          <t>Advance Growth %</t>
        </is>
      </c>
      <c r="B61" s="13" t="n">
        <v>0.14</v>
      </c>
      <c r="C61" s="13" t="n">
        <v>0.17</v>
      </c>
      <c r="D61" s="13" t="n">
        <v>0.1</v>
      </c>
    </row>
    <row r="62">
      <c r="A62" s="7" t="inlineStr">
        <is>
          <t>Deposit Growth %</t>
        </is>
      </c>
      <c r="B62" s="13" t="n">
        <v>0.12</v>
      </c>
      <c r="C62" s="13" t="n">
        <v>0.15</v>
      </c>
      <c r="D62" s="13" t="n">
        <v>0.08</v>
      </c>
    </row>
    <row r="63">
      <c r="A63" s="7" t="inlineStr">
        <is>
          <t>Provision Coverage %</t>
        </is>
      </c>
      <c r="B63" s="13" t="n">
        <v>0.015</v>
      </c>
      <c r="C63" s="13" t="n">
        <v>0.01</v>
      </c>
      <c r="D63" s="13" t="n">
        <v>0.025</v>
      </c>
    </row>
    <row r="64">
      <c r="A64" s="7" t="inlineStr">
        <is>
          <t>Tax Rate %</t>
        </is>
      </c>
      <c r="B64" s="13" t="n">
        <v>0.3</v>
      </c>
      <c r="C64" s="13" t="n">
        <v>0.28</v>
      </c>
      <c r="D64" s="13" t="n">
        <v>0.3</v>
      </c>
    </row>
    <row r="65">
      <c r="A65" s="7" t="inlineStr">
        <is>
          <t>Dividend Payout Ratio %</t>
        </is>
      </c>
      <c r="B65" s="13" t="n">
        <v>0.2</v>
      </c>
      <c r="C65" s="13" t="n">
        <v>0.15</v>
      </c>
      <c r="D65" s="13" t="n">
        <v>0.25</v>
      </c>
    </row>
    <row r="66">
      <c r="A66" s="7" t="inlineStr">
        <is>
          <t>Depreciation % of Assets</t>
        </is>
      </c>
      <c r="B66" s="13" t="n">
        <v>0.005</v>
      </c>
      <c r="C66" s="13" t="n">
        <v>0.005</v>
      </c>
      <c r="D66" s="13" t="n">
        <v>0.005</v>
      </c>
    </row>
    <row r="67">
      <c r="A67" s="7" t="inlineStr">
        <is>
          <t>CapEx % of Assets</t>
        </is>
      </c>
      <c r="B67" s="13" t="n">
        <v>0.008</v>
      </c>
      <c r="C67" s="13" t="n">
        <v>0.01</v>
      </c>
      <c r="D67" s="13" t="n">
        <v>0.006</v>
      </c>
    </row>
    <row r="69">
      <c r="A69" s="4" t="inlineStr">
        <is>
          <t>SCENARIO SELECTOR</t>
        </is>
      </c>
      <c r="B69" s="2" t="n"/>
      <c r="C69" s="3" t="n"/>
    </row>
    <row r="70">
      <c r="A70" s="14" t="inlineStr">
        <is>
          <t>Active Scenario  (Base / Bull / Bear) →</t>
        </is>
      </c>
      <c r="B70" s="15" t="inlineStr">
        <is>
          <t>Base</t>
        </is>
      </c>
    </row>
    <row r="72">
      <c r="A72" s="4" t="inlineStr">
        <is>
          <t>WACC COMPONENTS</t>
        </is>
      </c>
      <c r="B72" s="2" t="n"/>
      <c r="C72" s="3" t="n"/>
    </row>
    <row r="73">
      <c r="A73" s="7" t="inlineStr">
        <is>
          <t>Risk-Free Rate (Rf) %</t>
        </is>
      </c>
      <c r="B73" s="13" t="n">
        <v>0.065</v>
      </c>
    </row>
    <row r="74">
      <c r="A74" s="7" t="inlineStr">
        <is>
          <t>Equity Risk Premium (ERP) %</t>
        </is>
      </c>
      <c r="B74" s="13" t="n">
        <v>0.07000000000000001</v>
      </c>
    </row>
    <row r="75">
      <c r="A75" s="7" t="inlineStr">
        <is>
          <t>Beta (β)</t>
        </is>
      </c>
      <c r="B75" s="10" t="n">
        <v>0.85</v>
      </c>
    </row>
    <row r="76">
      <c r="A76" s="7" t="inlineStr">
        <is>
          <t>Cost of Equity % (CAPM = Rf+β×ERP)</t>
        </is>
      </c>
      <c r="B76" s="16">
        <f>B73+B75*B74</f>
        <v/>
      </c>
    </row>
    <row r="77">
      <c r="A77" s="7" t="inlineStr">
        <is>
          <t>Cost of Debt (pre-tax) %</t>
        </is>
      </c>
      <c r="B77" s="13" t="n">
        <v>0.075</v>
      </c>
    </row>
    <row r="78">
      <c r="A78" s="7" t="inlineStr">
        <is>
          <t>Tax Rate (for WACC) %</t>
        </is>
      </c>
      <c r="B78" s="13" t="n">
        <v>0.3</v>
      </c>
    </row>
    <row r="79">
      <c r="A79" s="7" t="inlineStr">
        <is>
          <t>After-Tax Cost of Debt %</t>
        </is>
      </c>
      <c r="B79" s="16">
        <f>B77*(1-B78)</f>
        <v/>
      </c>
    </row>
    <row r="80">
      <c r="A80" s="7" t="inlineStr">
        <is>
          <t>Target D/E Ratio</t>
        </is>
      </c>
      <c r="B80" s="10" t="n">
        <v>6</v>
      </c>
    </row>
    <row r="81">
      <c r="A81" s="7" t="inlineStr">
        <is>
          <t>Weight of Equity  [1/(1+D/E)]</t>
        </is>
      </c>
      <c r="B81" s="16">
        <f>1/(1+B80)</f>
        <v/>
      </c>
    </row>
    <row r="82">
      <c r="A82" s="7" t="inlineStr">
        <is>
          <t>Weight of Debt  [D/E/(1+D/E)]</t>
        </is>
      </c>
      <c r="B82" s="16">
        <f>B80/(1+B80)</f>
        <v/>
      </c>
    </row>
    <row r="83">
      <c r="A83" s="7" t="inlineStr">
        <is>
          <t>WACC %</t>
        </is>
      </c>
      <c r="B83" s="16">
        <f>B81*B76+B82*B79</f>
        <v/>
      </c>
    </row>
    <row r="85">
      <c r="A85" s="4" t="inlineStr">
        <is>
          <t>TERMINAL VALUE ASSUMPTION</t>
        </is>
      </c>
      <c r="B85" s="2" t="n"/>
      <c r="C85" s="3" t="n"/>
    </row>
    <row r="86">
      <c r="A86" s="7" t="inlineStr">
        <is>
          <t>Perpetual Growth Rate (g) %</t>
        </is>
      </c>
      <c r="B86" s="13" t="n">
        <v>0.03</v>
      </c>
    </row>
    <row r="88">
      <c r="A88" s="4" t="inlineStr">
        <is>
          <t>PEER BANK DATA (April 2026)</t>
        </is>
      </c>
      <c r="B88" s="2" t="n"/>
      <c r="C88" s="2" t="n"/>
      <c r="D88" s="2" t="n"/>
      <c r="E88" s="2" t="n"/>
      <c r="F88" s="2" t="n"/>
      <c r="G88" s="2" t="n"/>
      <c r="H88" s="3" t="n"/>
    </row>
    <row r="89">
      <c r="A89" s="11" t="inlineStr">
        <is>
          <t>Bank</t>
        </is>
      </c>
      <c r="B89" s="11" t="inlineStr">
        <is>
          <t>Market Cap
(₹ Cr)</t>
        </is>
      </c>
      <c r="C89" s="11" t="inlineStr">
        <is>
          <t>Stock Price
(₹)</t>
        </is>
      </c>
      <c r="D89" s="11" t="inlineStr">
        <is>
          <t>Shares (Cr)</t>
        </is>
      </c>
      <c r="E89" s="11" t="inlineStr">
        <is>
          <t>Net Profit
(₹ Cr)</t>
        </is>
      </c>
      <c r="F89" s="11" t="inlineStr">
        <is>
          <t>NII / Revenue
(₹ Cr)</t>
        </is>
      </c>
      <c r="G89" s="11" t="inlineStr">
        <is>
          <t>Book Value
/ Share (₹)</t>
        </is>
      </c>
      <c r="H89" s="11" t="inlineStr">
        <is>
          <t>P/E</t>
        </is>
      </c>
      <c r="I89" s="11" t="inlineStr">
        <is>
          <t>P/B</t>
        </is>
      </c>
    </row>
    <row r="90">
      <c r="A90" s="5" t="inlineStr">
        <is>
          <t>HDFC Bank</t>
        </is>
      </c>
      <c r="B90" s="9" t="n">
        <v>1350000</v>
      </c>
      <c r="C90" s="9" t="n">
        <v>1805</v>
      </c>
      <c r="D90" s="9" t="n">
        <v>748</v>
      </c>
      <c r="E90" s="9" t="n">
        <v>66200</v>
      </c>
      <c r="F90" s="9" t="n">
        <v>200000</v>
      </c>
      <c r="G90" s="9" t="n">
        <v>593</v>
      </c>
      <c r="H90" s="9" t="n">
        <v>20.4</v>
      </c>
      <c r="I90" s="9" t="n">
        <v>3.04</v>
      </c>
    </row>
    <row r="91">
      <c r="A91" s="5" t="inlineStr">
        <is>
          <t>ICICI Bank</t>
        </is>
      </c>
      <c r="B91" s="9" t="n">
        <v>895000</v>
      </c>
      <c r="C91" s="9" t="n">
        <v>1265</v>
      </c>
      <c r="D91" s="9" t="n">
        <v>708</v>
      </c>
      <c r="E91" s="9" t="n">
        <v>46500</v>
      </c>
      <c r="F91" s="9" t="n">
        <v>150000</v>
      </c>
      <c r="G91" s="9" t="n">
        <v>404</v>
      </c>
      <c r="H91" s="9" t="n">
        <v>19.3</v>
      </c>
      <c r="I91" s="9" t="n">
        <v>3.13</v>
      </c>
    </row>
    <row r="92">
      <c r="A92" s="5" t="inlineStr">
        <is>
          <t>Axis Bank</t>
        </is>
      </c>
      <c r="B92" s="9" t="n">
        <v>346000</v>
      </c>
      <c r="C92" s="9" t="n">
        <v>1120</v>
      </c>
      <c r="D92" s="9" t="n">
        <v>309</v>
      </c>
      <c r="E92" s="9" t="n">
        <v>26000</v>
      </c>
      <c r="F92" s="9" t="n">
        <v>95000</v>
      </c>
      <c r="G92" s="9" t="n">
        <v>548</v>
      </c>
      <c r="H92" s="9" t="n">
        <v>13.3</v>
      </c>
      <c r="I92" s="9" t="n">
        <v>2.04</v>
      </c>
    </row>
    <row r="93">
      <c r="A93" s="5" t="inlineStr">
        <is>
          <t>SBI</t>
        </is>
      </c>
      <c r="B93" s="9" t="n">
        <v>720000</v>
      </c>
      <c r="C93" s="9" t="n">
        <v>808</v>
      </c>
      <c r="D93" s="9" t="n">
        <v>892</v>
      </c>
      <c r="E93" s="9" t="n">
        <v>67100</v>
      </c>
      <c r="F93" s="9" t="n">
        <v>240000</v>
      </c>
      <c r="G93" s="9" t="n">
        <v>475</v>
      </c>
      <c r="H93" s="9" t="n">
        <v>10.7</v>
      </c>
      <c r="I93" s="9" t="n">
        <v>1.7</v>
      </c>
    </row>
    <row r="94">
      <c r="A94" s="5" t="inlineStr">
        <is>
          <t>Kotak Mahindra</t>
        </is>
      </c>
      <c r="B94" s="9" t="n">
        <v>391000</v>
      </c>
      <c r="C94" s="9" t="n">
        <v>1966</v>
      </c>
      <c r="D94" s="9" t="n">
        <v>199</v>
      </c>
      <c r="E94" s="9" t="n">
        <v>15300</v>
      </c>
      <c r="F94" s="9" t="n">
        <v>72000</v>
      </c>
      <c r="G94" s="9" t="n">
        <v>710</v>
      </c>
      <c r="H94" s="9" t="n">
        <v>25.5</v>
      </c>
      <c r="I94" s="9" t="n">
        <v>2.77</v>
      </c>
    </row>
  </sheetData>
  <mergeCells count="11">
    <mergeCell ref="A17:D17"/>
    <mergeCell ref="A44:C44"/>
    <mergeCell ref="A85:C85"/>
    <mergeCell ref="A54:E54"/>
    <mergeCell ref="A30:D30"/>
    <mergeCell ref="A6:C6"/>
    <mergeCell ref="A1:E1"/>
    <mergeCell ref="A3:C3"/>
    <mergeCell ref="A69:C69"/>
    <mergeCell ref="A72:C72"/>
    <mergeCell ref="A88:H88"/>
  </mergeCells>
  <dataValidations count="1">
    <dataValidation sqref="B70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5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IDBI BANK – 3-STATEMENTS MODEL</t>
        </is>
      </c>
      <c r="B1" s="2" t="n"/>
      <c r="C1" s="2" t="n"/>
      <c r="D1" s="2" t="n"/>
      <c r="E1" s="2" t="n"/>
      <c r="F1" s="3" t="n"/>
    </row>
    <row r="2">
      <c r="A2" s="11" t="inlineStr">
        <is>
          <t>Line Item</t>
        </is>
      </c>
      <c r="B2" s="11" t="inlineStr">
        <is>
          <t>FY 2024-25</t>
        </is>
      </c>
      <c r="C2" s="11" t="inlineStr">
        <is>
          <t>FY 2025-26</t>
        </is>
      </c>
      <c r="D2" s="11" t="inlineStr">
        <is>
          <t>FY 2026-27</t>
        </is>
      </c>
      <c r="E2" s="11" t="inlineStr">
        <is>
          <t>FY 2027-28</t>
        </is>
      </c>
      <c r="F2" s="11" t="inlineStr">
        <is>
          <t>FY 2028-29</t>
        </is>
      </c>
    </row>
    <row r="3">
      <c r="A3" s="4" t="inlineStr">
        <is>
          <t>INCOME STATEMENT  (₹ Millions)</t>
        </is>
      </c>
      <c r="B3" s="2" t="n"/>
      <c r="C3" s="2" t="n"/>
      <c r="D3" s="2" t="n"/>
      <c r="E3" s="2" t="n"/>
      <c r="F3" s="3" t="n"/>
    </row>
    <row r="4">
      <c r="A4" s="7" t="inlineStr">
        <is>
          <t>Interest Income</t>
        </is>
      </c>
      <c r="B4" s="17">
        <f>Inputs!B19</f>
        <v/>
      </c>
      <c r="C4" s="17">
        <f>IF(Inputs!B70="Bull",B4*(1+Inputs!C56),IF(Inputs!B70="Bear",B4*(1+Inputs!D56),B4*(1+Inputs!B56)))</f>
        <v/>
      </c>
      <c r="D4" s="17">
        <f>IF(Inputs!B70="Bull",C4*(1+Inputs!C56),IF(Inputs!B70="Bear",C4*(1+Inputs!D56),C4*(1+Inputs!B56)))</f>
        <v/>
      </c>
      <c r="E4" s="17">
        <f>IF(Inputs!B70="Bull",D4*(1+Inputs!C56),IF(Inputs!B70="Bear",D4*(1+Inputs!D56),D4*(1+Inputs!B56)))</f>
        <v/>
      </c>
      <c r="F4" s="17">
        <f>IF(Inputs!B70="Bull",E4*(1+Inputs!C56),IF(Inputs!B70="Bear",E4*(1+Inputs!D56),E4*(1+Inputs!B56)))</f>
        <v/>
      </c>
    </row>
    <row r="5">
      <c r="A5" s="7" t="inlineStr">
        <is>
          <t>Other Income</t>
        </is>
      </c>
      <c r="B5" s="17">
        <f>Inputs!B20</f>
        <v/>
      </c>
      <c r="C5" s="17">
        <f>IF(Inputs!B70="Bull",B5*(1+Inputs!C58),IF(Inputs!B70="Bear",B5*(1+Inputs!D58),B5*(1+Inputs!B58)))</f>
        <v/>
      </c>
      <c r="D5" s="17">
        <f>IF(Inputs!B70="Bull",C5*(1+Inputs!C58),IF(Inputs!B70="Bear",C5*(1+Inputs!D58),C5*(1+Inputs!B58)))</f>
        <v/>
      </c>
      <c r="E5" s="17">
        <f>IF(Inputs!B70="Bull",D5*(1+Inputs!C58),IF(Inputs!B70="Bear",D5*(1+Inputs!D58),D5*(1+Inputs!B58)))</f>
        <v/>
      </c>
      <c r="F5" s="17">
        <f>IF(Inputs!B70="Bull",E5*(1+Inputs!C58),IF(Inputs!B70="Bear",E5*(1+Inputs!D58),E5*(1+Inputs!B58)))</f>
        <v/>
      </c>
    </row>
    <row r="6">
      <c r="A6" s="14" t="inlineStr">
        <is>
          <t>Total Income</t>
        </is>
      </c>
      <c r="B6" s="18">
        <f>B4+B5</f>
        <v/>
      </c>
      <c r="C6" s="18">
        <f>C4+C5</f>
        <v/>
      </c>
      <c r="D6" s="18">
        <f>D4+D5</f>
        <v/>
      </c>
      <c r="E6" s="18">
        <f>E4+E5</f>
        <v/>
      </c>
      <c r="F6" s="18">
        <f>F4+F5</f>
        <v/>
      </c>
    </row>
    <row r="7">
      <c r="A7" s="7" t="inlineStr">
        <is>
          <t>Interest Expenses</t>
        </is>
      </c>
      <c r="B7" s="17">
        <f>Inputs!B22</f>
        <v/>
      </c>
      <c r="C7" s="17">
        <f>IF(Inputs!B70="Bull",B7*(1+Inputs!C60),IF(Inputs!B70="Bear",B7*(1+Inputs!D60),B7*(1+Inputs!B60)))</f>
        <v/>
      </c>
      <c r="D7" s="17">
        <f>IF(Inputs!B70="Bull",C7*(1+Inputs!C60),IF(Inputs!B70="Bear",C7*(1+Inputs!D60),C7*(1+Inputs!B60)))</f>
        <v/>
      </c>
      <c r="E7" s="17">
        <f>IF(Inputs!B70="Bull",D7*(1+Inputs!C60),IF(Inputs!B70="Bear",D7*(1+Inputs!D60),D7*(1+Inputs!B60)))</f>
        <v/>
      </c>
      <c r="F7" s="17">
        <f>IF(Inputs!B70="Bull",E7*(1+Inputs!C60),IF(Inputs!B70="Bear",E7*(1+Inputs!D60),E7*(1+Inputs!B60)))</f>
        <v/>
      </c>
    </row>
    <row r="8">
      <c r="A8" s="14" t="inlineStr">
        <is>
          <t>Net Interest Income</t>
        </is>
      </c>
      <c r="B8" s="18">
        <f>B6-B7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</row>
    <row r="9">
      <c r="A9" s="7" t="inlineStr">
        <is>
          <t>Operating Expenses</t>
        </is>
      </c>
      <c r="B9" s="17">
        <f>IF(Inputs!B70="Bull",B6*Inputs!C59,IF(Inputs!B70="Bear",B6*Inputs!D59,B6*Inputs!B59))</f>
        <v/>
      </c>
      <c r="C9" s="17">
        <f>IF(Inputs!B70="Bull",C6*Inputs!C59,IF(Inputs!B70="Bear",C6*Inputs!D59,C6*Inputs!B59))</f>
        <v/>
      </c>
      <c r="D9" s="17">
        <f>IF(Inputs!B70="Bull",D6*Inputs!C59,IF(Inputs!B70="Bear",D6*Inputs!D59,D6*Inputs!B59))</f>
        <v/>
      </c>
      <c r="E9" s="17">
        <f>IF(Inputs!B70="Bull",E6*Inputs!C59,IF(Inputs!B70="Bear",E6*Inputs!D59,E6*Inputs!B59))</f>
        <v/>
      </c>
      <c r="F9" s="17">
        <f>IF(Inputs!B70="Bull",F6*Inputs!C59,IF(Inputs!B70="Bear",F6*Inputs!D59,F6*Inputs!B59))</f>
        <v/>
      </c>
    </row>
    <row r="10">
      <c r="A10" s="7" t="inlineStr">
        <is>
          <t>Provisions &amp; Contingencies</t>
        </is>
      </c>
      <c r="B10" s="17">
        <f>IF(Inputs!B70="Bull",B8*Inputs!C63,IF(Inputs!B70="Bear",B8*Inputs!D63,B8*Inputs!B63))</f>
        <v/>
      </c>
      <c r="C10" s="17">
        <f>IF(Inputs!B70="Bull",C8*Inputs!C63,IF(Inputs!B70="Bear",C8*Inputs!D63,C8*Inputs!B63))</f>
        <v/>
      </c>
      <c r="D10" s="17">
        <f>IF(Inputs!B70="Bull",D8*Inputs!C63,IF(Inputs!B70="Bear",D8*Inputs!D63,D8*Inputs!B63))</f>
        <v/>
      </c>
      <c r="E10" s="17">
        <f>IF(Inputs!B70="Bull",E8*Inputs!C63,IF(Inputs!B70="Bear",E8*Inputs!D63,E8*Inputs!B63))</f>
        <v/>
      </c>
      <c r="F10" s="17">
        <f>IF(Inputs!B70="Bull",F8*Inputs!C63,IF(Inputs!B70="Bear",F8*Inputs!D63,F8*Inputs!B63))</f>
        <v/>
      </c>
    </row>
    <row r="11">
      <c r="A11" s="14" t="inlineStr">
        <is>
          <t>Pre-Tax Profit</t>
        </is>
      </c>
      <c r="B11" s="18">
        <f>B8-B9-B10</f>
        <v/>
      </c>
      <c r="C11" s="18">
        <f>C8-C9-C10</f>
        <v/>
      </c>
      <c r="D11" s="18">
        <f>D8-D9-D10</f>
        <v/>
      </c>
      <c r="E11" s="18">
        <f>E8-E9-E10</f>
        <v/>
      </c>
      <c r="F11" s="18">
        <f>F8-F9-F10</f>
        <v/>
      </c>
    </row>
    <row r="12">
      <c r="A12" s="7" t="inlineStr">
        <is>
          <t>Tax (30%)</t>
        </is>
      </c>
      <c r="B12" s="17">
        <f>IF(Inputs!B70="Bull",B11*Inputs!C64,IF(Inputs!B70="Bear",B11*Inputs!D64,B11*Inputs!B64))</f>
        <v/>
      </c>
      <c r="C12" s="17">
        <f>IF(Inputs!B70="Bull",C11*Inputs!C64,IF(Inputs!B70="Bear",C11*Inputs!D64,C11*Inputs!B64))</f>
        <v/>
      </c>
      <c r="D12" s="17">
        <f>IF(Inputs!B70="Bull",D11*Inputs!C64,IF(Inputs!B70="Bear",D11*Inputs!D64,D11*Inputs!B64))</f>
        <v/>
      </c>
      <c r="E12" s="17">
        <f>IF(Inputs!B70="Bull",E11*Inputs!C64,IF(Inputs!B70="Bear",E11*Inputs!D64,E11*Inputs!B64))</f>
        <v/>
      </c>
      <c r="F12" s="17">
        <f>IF(Inputs!B70="Bull",F11*Inputs!C64,IF(Inputs!B70="Bear",F11*Inputs!D64,F11*Inputs!B64))</f>
        <v/>
      </c>
    </row>
    <row r="13">
      <c r="A13" s="14" t="inlineStr">
        <is>
          <t>Net Profit After Tax (NPAT)</t>
        </is>
      </c>
      <c r="B13" s="18">
        <f>B11-B12</f>
        <v/>
      </c>
      <c r="C13" s="18">
        <f>C11-C12</f>
        <v/>
      </c>
      <c r="D13" s="18">
        <f>D11-D12</f>
        <v/>
      </c>
      <c r="E13" s="18">
        <f>E11-E12</f>
        <v/>
      </c>
      <c r="F13" s="18">
        <f>F11-F12</f>
        <v/>
      </c>
    </row>
    <row r="15">
      <c r="A15" s="4" t="inlineStr">
        <is>
          <t>KEY RATIOS</t>
        </is>
      </c>
      <c r="B15" s="2" t="n"/>
      <c r="C15" s="2" t="n"/>
      <c r="D15" s="2" t="n"/>
      <c r="E15" s="2" t="n"/>
      <c r="F15" s="3" t="n"/>
    </row>
    <row r="16">
      <c r="A16" s="11" t="inlineStr">
        <is>
          <t>Ratio</t>
        </is>
      </c>
      <c r="B16" s="11" t="inlineStr">
        <is>
          <t>FY 2024-25</t>
        </is>
      </c>
      <c r="C16" s="11" t="inlineStr">
        <is>
          <t>FY 2025-26</t>
        </is>
      </c>
      <c r="D16" s="11" t="inlineStr">
        <is>
          <t>FY 2026-27</t>
        </is>
      </c>
      <c r="E16" s="11" t="inlineStr">
        <is>
          <t>FY 2027-28</t>
        </is>
      </c>
      <c r="F16" s="11" t="inlineStr">
        <is>
          <t>FY 2028-29</t>
        </is>
      </c>
    </row>
    <row r="17">
      <c r="A17" s="7" t="inlineStr">
        <is>
          <t>Net Profit Margin %</t>
        </is>
      </c>
      <c r="B17" s="19">
        <f>IF(B6=0,0,B13/B6)</f>
        <v/>
      </c>
      <c r="C17" s="19">
        <f>IF(C6=0,0,C13/C6)</f>
        <v/>
      </c>
      <c r="D17" s="19">
        <f>IF(D6=0,0,D13/D6)</f>
        <v/>
      </c>
      <c r="E17" s="19">
        <f>IF(E6=0,0,E13/E6)</f>
        <v/>
      </c>
      <c r="F17" s="19">
        <f>IF(F6=0,0,F13/F6)</f>
        <v/>
      </c>
    </row>
    <row r="18">
      <c r="A18" s="7" t="inlineStr">
        <is>
          <t>Cost to Income Ratio %</t>
        </is>
      </c>
      <c r="B18" s="19">
        <f>IF(B6=0,0,B9/B6)</f>
        <v/>
      </c>
      <c r="C18" s="19">
        <f>IF(C6=0,0,C9/C6)</f>
        <v/>
      </c>
      <c r="D18" s="19">
        <f>IF(D6=0,0,D9/D6)</f>
        <v/>
      </c>
      <c r="E18" s="19">
        <f>IF(E6=0,0,E9/E6)</f>
        <v/>
      </c>
      <c r="F18" s="19">
        <f>IF(F6=0,0,F9/F6)</f>
        <v/>
      </c>
    </row>
    <row r="20">
      <c r="A20" s="4" t="inlineStr">
        <is>
          <t>BALANCE SHEET  (₹ Crore)</t>
        </is>
      </c>
      <c r="B20" s="2" t="n"/>
      <c r="C20" s="2" t="n"/>
      <c r="D20" s="2" t="n"/>
      <c r="E20" s="2" t="n"/>
      <c r="F20" s="3" t="n"/>
    </row>
    <row r="21">
      <c r="A21" s="11" t="inlineStr">
        <is>
          <t>Line Item</t>
        </is>
      </c>
      <c r="B21" s="11" t="inlineStr">
        <is>
          <t>FY 2024-25</t>
        </is>
      </c>
      <c r="C21" s="11" t="inlineStr">
        <is>
          <t>FY 2025-26</t>
        </is>
      </c>
      <c r="D21" s="11" t="inlineStr">
        <is>
          <t>FY 2026-27</t>
        </is>
      </c>
      <c r="E21" s="11" t="inlineStr">
        <is>
          <t>FY 2027-28</t>
        </is>
      </c>
      <c r="F21" s="11" t="inlineStr">
        <is>
          <t>FY 2028-29</t>
        </is>
      </c>
    </row>
    <row r="22">
      <c r="A22" s="4" t="inlineStr">
        <is>
          <t>ASSETS</t>
        </is>
      </c>
      <c r="B22" s="2" t="n"/>
      <c r="C22" s="2" t="n"/>
      <c r="D22" s="2" t="n"/>
      <c r="E22" s="2" t="n"/>
      <c r="F22" s="3" t="n"/>
    </row>
    <row r="23">
      <c r="A23" s="7" t="inlineStr">
        <is>
          <t>Advances</t>
        </is>
      </c>
      <c r="B23" s="17">
        <f>Inputs!B35</f>
        <v/>
      </c>
      <c r="C23" s="17">
        <f>IF(Inputs!B70="Bull",B23*(1+Inputs!C61),IF(Inputs!B70="Bear",B23*(1+Inputs!D61),B23*(1+Inputs!B61)))</f>
        <v/>
      </c>
      <c r="D23" s="17">
        <f>IF(Inputs!B70="Bull",C23*(1+Inputs!C61),IF(Inputs!B70="Bear",C23*(1+Inputs!D61),C23*(1+Inputs!B61)))</f>
        <v/>
      </c>
      <c r="E23" s="17">
        <f>IF(Inputs!B70="Bull",D23*(1+Inputs!C61),IF(Inputs!B70="Bear",D23*(1+Inputs!D61),D23*(1+Inputs!B61)))</f>
        <v/>
      </c>
      <c r="F23" s="17">
        <f>IF(Inputs!B70="Bull",E23*(1+Inputs!C61),IF(Inputs!B70="Bear",E23*(1+Inputs!D61),E23*(1+Inputs!B61)))</f>
        <v/>
      </c>
    </row>
    <row r="24">
      <c r="A24" s="7" t="inlineStr">
        <is>
          <t>Investments</t>
        </is>
      </c>
      <c r="B24" s="17">
        <f>Inputs!B34</f>
        <v/>
      </c>
      <c r="C24" s="17">
        <f>IF(Inputs!B70="Bull",B24*(1+0.65*Inputs!C61),IF(Inputs!B70="Bear",B24*(1+0.65*Inputs!D61),B24*(1+0.65*Inputs!B61)))</f>
        <v/>
      </c>
      <c r="D24" s="17">
        <f>IF(Inputs!B70="Bull",C24*(1+0.65*Inputs!C61),IF(Inputs!B70="Bear",C24*(1+0.65*Inputs!D61),C24*(1+0.65*Inputs!B61)))</f>
        <v/>
      </c>
      <c r="E24" s="17">
        <f>IF(Inputs!B70="Bull",D24*(1+0.65*Inputs!C61),IF(Inputs!B70="Bear",D24*(1+0.65*Inputs!D61),D24*(1+0.65*Inputs!B61)))</f>
        <v/>
      </c>
      <c r="F24" s="17">
        <f>IF(Inputs!B70="Bull",E24*(1+0.65*Inputs!C61),IF(Inputs!B70="Bear",E24*(1+0.65*Inputs!D61),E24*(1+0.65*Inputs!B61)))</f>
        <v/>
      </c>
    </row>
    <row r="25">
      <c r="A25" s="7" t="inlineStr">
        <is>
          <t>Cash &amp; Equivalents</t>
        </is>
      </c>
      <c r="B25" s="17">
        <f>Inputs!B33</f>
        <v/>
      </c>
      <c r="C25" s="17">
        <f>B25*1.05</f>
        <v/>
      </c>
      <c r="D25" s="17">
        <f>C25*1.05</f>
        <v/>
      </c>
      <c r="E25" s="17">
        <f>D25*1.05</f>
        <v/>
      </c>
      <c r="F25" s="17">
        <f>E25*1.05</f>
        <v/>
      </c>
    </row>
    <row r="26">
      <c r="A26" s="7" t="inlineStr">
        <is>
          <t>Other Assets</t>
        </is>
      </c>
      <c r="B26" s="17">
        <f>B23*0.18</f>
        <v/>
      </c>
      <c r="C26" s="17">
        <f>C23*0.18</f>
        <v/>
      </c>
      <c r="D26" s="17">
        <f>D23*0.18</f>
        <v/>
      </c>
      <c r="E26" s="17">
        <f>E23*0.18</f>
        <v/>
      </c>
      <c r="F26" s="17">
        <f>F23*0.18</f>
        <v/>
      </c>
    </row>
    <row r="27">
      <c r="A27" s="14" t="inlineStr">
        <is>
          <t>TOTAL ASSETS</t>
        </is>
      </c>
      <c r="B27" s="18">
        <f>B23+B24+B25+B26</f>
        <v/>
      </c>
      <c r="C27" s="18">
        <f>C23+C24+C25+C26</f>
        <v/>
      </c>
      <c r="D27" s="18">
        <f>D23+D24+D25+D26</f>
        <v/>
      </c>
      <c r="E27" s="18">
        <f>E23+E24+E25+E26</f>
        <v/>
      </c>
      <c r="F27" s="18">
        <f>F23+F24+F25+F26</f>
        <v/>
      </c>
    </row>
    <row r="28">
      <c r="A28" s="4" t="inlineStr">
        <is>
          <t>LIABILITIES</t>
        </is>
      </c>
      <c r="B28" s="2" t="n"/>
      <c r="C28" s="2" t="n"/>
      <c r="D28" s="2" t="n"/>
      <c r="E28" s="2" t="n"/>
      <c r="F28" s="3" t="n"/>
    </row>
    <row r="29">
      <c r="A29" s="7" t="inlineStr">
        <is>
          <t>Total Deposits</t>
        </is>
      </c>
      <c r="B29" s="17">
        <f>Inputs!B37</f>
        <v/>
      </c>
      <c r="C29" s="17">
        <f>IF(Inputs!B70="Bull",B29*(1+Inputs!C62),IF(Inputs!B70="Bear",B29*(1+Inputs!D62),B29*(1+Inputs!B62)))</f>
        <v/>
      </c>
      <c r="D29" s="17">
        <f>IF(Inputs!B70="Bull",C29*(1+Inputs!C62),IF(Inputs!B70="Bear",C29*(1+Inputs!D62),C29*(1+Inputs!B62)))</f>
        <v/>
      </c>
      <c r="E29" s="17">
        <f>IF(Inputs!B70="Bull",D29*(1+Inputs!C62),IF(Inputs!B70="Bear",D29*(1+Inputs!D62),D29*(1+Inputs!B62)))</f>
        <v/>
      </c>
      <c r="F29" s="17">
        <f>IF(Inputs!B70="Bull",E29*(1+Inputs!C62),IF(Inputs!B70="Bear",E29*(1+Inputs!D62),E29*(1+Inputs!B62)))</f>
        <v/>
      </c>
    </row>
    <row r="30">
      <c r="A30" s="7" t="inlineStr">
        <is>
          <t>Borrowings</t>
        </is>
      </c>
      <c r="B30" s="17">
        <f>Inputs!B38</f>
        <v/>
      </c>
      <c r="C30" s="17">
        <f>B30*1.05</f>
        <v/>
      </c>
      <c r="D30" s="17">
        <f>C30*1.05</f>
        <v/>
      </c>
      <c r="E30" s="17">
        <f>D30*1.05</f>
        <v/>
      </c>
      <c r="F30" s="17">
        <f>E30*1.05</f>
        <v/>
      </c>
    </row>
    <row r="31">
      <c r="A31" s="7" t="inlineStr">
        <is>
          <t>Other Liabilities</t>
        </is>
      </c>
      <c r="B31" s="17">
        <f>B27*0.06</f>
        <v/>
      </c>
      <c r="C31" s="17">
        <f>C27*0.06</f>
        <v/>
      </c>
      <c r="D31" s="17">
        <f>D27*0.06</f>
        <v/>
      </c>
      <c r="E31" s="17">
        <f>E27*0.06</f>
        <v/>
      </c>
      <c r="F31" s="17">
        <f>F27*0.06</f>
        <v/>
      </c>
    </row>
    <row r="32">
      <c r="A32" s="14" t="inlineStr">
        <is>
          <t>Total Liabilities (excl. Equity)</t>
        </is>
      </c>
      <c r="B32" s="18">
        <f>B29+B30+B31</f>
        <v/>
      </c>
      <c r="C32" s="18">
        <f>C29+C30+C31</f>
        <v/>
      </c>
      <c r="D32" s="18">
        <f>D29+D30+D31</f>
        <v/>
      </c>
      <c r="E32" s="18">
        <f>E29+E30+E31</f>
        <v/>
      </c>
      <c r="F32" s="18">
        <f>F29+F30+F31</f>
        <v/>
      </c>
    </row>
    <row r="33">
      <c r="A33" s="4" t="inlineStr">
        <is>
          <t>EQUITY</t>
        </is>
      </c>
      <c r="B33" s="2" t="n"/>
      <c r="C33" s="2" t="n"/>
      <c r="D33" s="2" t="n"/>
      <c r="E33" s="2" t="n"/>
      <c r="F33" s="3" t="n"/>
    </row>
    <row r="34">
      <c r="A34" s="7" t="inlineStr">
        <is>
          <t>Paid-up Capital</t>
        </is>
      </c>
      <c r="B34" s="17">
        <f>Inputs!B41</f>
        <v/>
      </c>
      <c r="C34" s="17">
        <f>Inputs!B41</f>
        <v/>
      </c>
      <c r="D34" s="17">
        <f>Inputs!B41</f>
        <v/>
      </c>
      <c r="E34" s="17">
        <f>Inputs!B41</f>
        <v/>
      </c>
      <c r="F34" s="17">
        <f>Inputs!B41</f>
        <v/>
      </c>
    </row>
    <row r="35">
      <c r="A35" s="7" t="inlineStr">
        <is>
          <t>Reserves &amp; Surplus</t>
        </is>
      </c>
      <c r="B35" s="17">
        <f>Inputs!B42</f>
        <v/>
      </c>
      <c r="C35" s="17">
        <f>B35+IF(Inputs!B70="Bull",(C13/10)*(1-Inputs!C65),IF(Inputs!B70="Bear",(C13/10)*(1-Inputs!D65),(C13/10)*(1-Inputs!B65)))</f>
        <v/>
      </c>
      <c r="D35" s="17">
        <f>C35+IF(Inputs!B70="Bull",(D13/10)*(1-Inputs!C65),IF(Inputs!B70="Bear",(D13/10)*(1-Inputs!D65),(D13/10)*(1-Inputs!B65)))</f>
        <v/>
      </c>
      <c r="E35" s="17">
        <f>D35+IF(Inputs!B70="Bull",(E13/10)*(1-Inputs!C65),IF(Inputs!B70="Bear",(E13/10)*(1-Inputs!D65),(E13/10)*(1-Inputs!B65)))</f>
        <v/>
      </c>
      <c r="F35" s="17">
        <f>E35+IF(Inputs!B70="Bull",(F13/10)*(1-Inputs!C65),IF(Inputs!B70="Bear",(F13/10)*(1-Inputs!D65),(F13/10)*(1-Inputs!B65)))</f>
        <v/>
      </c>
    </row>
    <row r="36">
      <c r="A36" s="14" t="inlineStr">
        <is>
          <t>Total Equity</t>
        </is>
      </c>
      <c r="B36" s="18">
        <f>B34+B35</f>
        <v/>
      </c>
      <c r="C36" s="18">
        <f>C34+C35</f>
        <v/>
      </c>
      <c r="D36" s="18">
        <f>D34+D35</f>
        <v/>
      </c>
      <c r="E36" s="18">
        <f>E34+E35</f>
        <v/>
      </c>
      <c r="F36" s="18">
        <f>F34+F35</f>
        <v/>
      </c>
    </row>
    <row r="37">
      <c r="A37" s="14" t="inlineStr">
        <is>
          <t>Total Liabilities + Equity  (balance check)</t>
        </is>
      </c>
      <c r="B37" s="18">
        <f>B32+B36</f>
        <v/>
      </c>
      <c r="C37" s="18">
        <f>C32+C36</f>
        <v/>
      </c>
      <c r="D37" s="18">
        <f>D32+D36</f>
        <v/>
      </c>
      <c r="E37" s="18">
        <f>E32+E36</f>
        <v/>
      </c>
      <c r="F37" s="18">
        <f>F32+F36</f>
        <v/>
      </c>
    </row>
    <row r="39">
      <c r="A39" s="4" t="inlineStr">
        <is>
          <t>CASH FLOW STATEMENT  (₹ Millions)</t>
        </is>
      </c>
      <c r="B39" s="2" t="n"/>
      <c r="C39" s="2" t="n"/>
      <c r="D39" s="2" t="n"/>
      <c r="E39" s="2" t="n"/>
      <c r="F39" s="3" t="n"/>
    </row>
    <row r="40">
      <c r="A40" s="11" t="inlineStr">
        <is>
          <t>Line Item</t>
        </is>
      </c>
      <c r="B40" s="11" t="inlineStr">
        <is>
          <t>FY 2024-25</t>
        </is>
      </c>
      <c r="C40" s="11" t="inlineStr">
        <is>
          <t>FY 2025-26</t>
        </is>
      </c>
      <c r="D40" s="11" t="inlineStr">
        <is>
          <t>FY 2026-27</t>
        </is>
      </c>
      <c r="E40" s="11" t="inlineStr">
        <is>
          <t>FY 2027-28</t>
        </is>
      </c>
      <c r="F40" s="11" t="inlineStr">
        <is>
          <t>FY 2028-29</t>
        </is>
      </c>
    </row>
    <row r="41">
      <c r="A41" s="7" t="inlineStr">
        <is>
          <t>Net Profit After Tax</t>
        </is>
      </c>
      <c r="B41" s="17">
        <f>B13</f>
        <v/>
      </c>
      <c r="C41" s="17">
        <f>C13</f>
        <v/>
      </c>
      <c r="D41" s="17">
        <f>D13</f>
        <v/>
      </c>
      <c r="E41" s="17">
        <f>E13</f>
        <v/>
      </c>
      <c r="F41" s="17">
        <f>F13</f>
        <v/>
      </c>
    </row>
    <row r="42">
      <c r="A42" s="7" t="inlineStr">
        <is>
          <t>Add: Provisions &amp; Contingencies</t>
        </is>
      </c>
      <c r="B42" s="17">
        <f>B10</f>
        <v/>
      </c>
      <c r="C42" s="17">
        <f>C10</f>
        <v/>
      </c>
      <c r="D42" s="17">
        <f>D10</f>
        <v/>
      </c>
      <c r="E42" s="17">
        <f>E10</f>
        <v/>
      </c>
      <c r="F42" s="17">
        <f>F10</f>
        <v/>
      </c>
    </row>
    <row r="43">
      <c r="A43" s="7" t="inlineStr">
        <is>
          <t>Add: Depreciation (% of total assets)</t>
        </is>
      </c>
      <c r="B43" s="17">
        <f>B27*10*Inputs!B66</f>
        <v/>
      </c>
      <c r="C43" s="17">
        <f>C27*10*Inputs!B66</f>
        <v/>
      </c>
      <c r="D43" s="17">
        <f>D27*10*Inputs!B66</f>
        <v/>
      </c>
      <c r="E43" s="17">
        <f>E27*10*Inputs!B66</f>
        <v/>
      </c>
      <c r="F43" s="17">
        <f>F27*10*Inputs!B66</f>
        <v/>
      </c>
    </row>
    <row r="44">
      <c r="A44" s="7" t="inlineStr">
        <is>
          <t>Less: Increase in Advances (use of funds)</t>
        </is>
      </c>
      <c r="B44" s="17">
        <f>0</f>
        <v/>
      </c>
      <c r="C44" s="17">
        <f>-(C23-B23)*10</f>
        <v/>
      </c>
      <c r="D44" s="17">
        <f>-(D23-C23)*10</f>
        <v/>
      </c>
      <c r="E44" s="17">
        <f>-(E23-D23)*10</f>
        <v/>
      </c>
      <c r="F44" s="17">
        <f>-(F23-E23)*10</f>
        <v/>
      </c>
    </row>
    <row r="45">
      <c r="A45" s="7" t="inlineStr">
        <is>
          <t>Add: Increase in Deposits (source of funds)</t>
        </is>
      </c>
      <c r="B45" s="17">
        <f>0</f>
        <v/>
      </c>
      <c r="C45" s="17">
        <f>(C29-B29)*10</f>
        <v/>
      </c>
      <c r="D45" s="17">
        <f>(D29-C29)*10</f>
        <v/>
      </c>
      <c r="E45" s="17">
        <f>(E29-D29)*10</f>
        <v/>
      </c>
      <c r="F45" s="17">
        <f>(F29-E29)*10</f>
        <v/>
      </c>
    </row>
    <row r="46">
      <c r="A46" s="14" t="inlineStr">
        <is>
          <t>OPERATING CASH FLOW</t>
        </is>
      </c>
      <c r="B46" s="18">
        <f>B41+B42+B43+B44+B45</f>
        <v/>
      </c>
      <c r="C46" s="18">
        <f>C41+C42+C43+C44+C45</f>
        <v/>
      </c>
      <c r="D46" s="18">
        <f>D41+D42+D43+D44+D45</f>
        <v/>
      </c>
      <c r="E46" s="18">
        <f>E41+E42+E43+E44+E45</f>
        <v/>
      </c>
      <c r="F46" s="18">
        <f>F41+F42+F43+F44+F45</f>
        <v/>
      </c>
    </row>
    <row r="47">
      <c r="A47" s="7" t="inlineStr">
        <is>
          <t>Capital Expenditure</t>
        </is>
      </c>
      <c r="B47" s="17">
        <f>-B27*10*Inputs!B67</f>
        <v/>
      </c>
      <c r="C47" s="17">
        <f>-C27*10*Inputs!B67</f>
        <v/>
      </c>
      <c r="D47" s="17">
        <f>-D27*10*Inputs!B67</f>
        <v/>
      </c>
      <c r="E47" s="17">
        <f>-E27*10*Inputs!B67</f>
        <v/>
      </c>
      <c r="F47" s="17">
        <f>-F27*10*Inputs!B67</f>
        <v/>
      </c>
    </row>
    <row r="48">
      <c r="A48" s="14" t="inlineStr">
        <is>
          <t>INVESTING CASH FLOW</t>
        </is>
      </c>
      <c r="B48" s="18">
        <f>B47</f>
        <v/>
      </c>
      <c r="C48" s="18">
        <f>C47</f>
        <v/>
      </c>
      <c r="D48" s="18">
        <f>D47</f>
        <v/>
      </c>
      <c r="E48" s="18">
        <f>E47</f>
        <v/>
      </c>
      <c r="F48" s="18">
        <f>F47</f>
        <v/>
      </c>
    </row>
    <row r="49">
      <c r="A49" s="7" t="inlineStr">
        <is>
          <t>Dividends Paid</t>
        </is>
      </c>
      <c r="B49" s="17">
        <f>IF(Inputs!B70="Bull",-B13*Inputs!C65,IF(Inputs!B70="Bear",-B13*Inputs!D65,-B13*Inputs!B65))</f>
        <v/>
      </c>
      <c r="C49" s="17">
        <f>IF(Inputs!B70="Bull",-C13*Inputs!C65,IF(Inputs!B70="Bear",-C13*Inputs!D65,-C13*Inputs!B65))</f>
        <v/>
      </c>
      <c r="D49" s="17">
        <f>IF(Inputs!B70="Bull",-D13*Inputs!C65,IF(Inputs!B70="Bear",-D13*Inputs!D65,-D13*Inputs!B65))</f>
        <v/>
      </c>
      <c r="E49" s="17">
        <f>IF(Inputs!B70="Bull",-E13*Inputs!C65,IF(Inputs!B70="Bear",-E13*Inputs!D65,-E13*Inputs!B65))</f>
        <v/>
      </c>
      <c r="F49" s="17">
        <f>IF(Inputs!B70="Bull",-F13*Inputs!C65,IF(Inputs!B70="Bear",-F13*Inputs!D65,-F13*Inputs!B65))</f>
        <v/>
      </c>
    </row>
    <row r="50">
      <c r="A50" s="14" t="inlineStr">
        <is>
          <t>FINANCING CASH FLOW</t>
        </is>
      </c>
      <c r="B50" s="18">
        <f>B49</f>
        <v/>
      </c>
      <c r="C50" s="18">
        <f>C49</f>
        <v/>
      </c>
      <c r="D50" s="18">
        <f>D49</f>
        <v/>
      </c>
      <c r="E50" s="18">
        <f>E49</f>
        <v/>
      </c>
      <c r="F50" s="18">
        <f>F49</f>
        <v/>
      </c>
    </row>
    <row r="51">
      <c r="A51" s="14" t="inlineStr">
        <is>
          <t>NET CHANGE IN CASH</t>
        </is>
      </c>
      <c r="B51" s="18">
        <f>B46+B48+B50</f>
        <v/>
      </c>
      <c r="C51" s="18">
        <f>C46+C48+C50</f>
        <v/>
      </c>
      <c r="D51" s="18">
        <f>D46+D48+D50</f>
        <v/>
      </c>
      <c r="E51" s="18">
        <f>E46+E48+E50</f>
        <v/>
      </c>
      <c r="F51" s="18">
        <f>F46+F48+F50</f>
        <v/>
      </c>
    </row>
  </sheetData>
  <mergeCells count="8">
    <mergeCell ref="A33:F33"/>
    <mergeCell ref="A28:F28"/>
    <mergeCell ref="A1:F1"/>
    <mergeCell ref="A22:F22"/>
    <mergeCell ref="A3:F3"/>
    <mergeCell ref="A20:F20"/>
    <mergeCell ref="A15:F15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IDBI BANK – DCF VALUATION</t>
        </is>
      </c>
      <c r="B1" s="2" t="n"/>
      <c r="C1" s="2" t="n"/>
      <c r="D1" s="2" t="n"/>
      <c r="E1" s="2" t="n"/>
      <c r="F1" s="3" t="n"/>
    </row>
    <row r="2">
      <c r="A2" s="11" t="inlineStr">
        <is>
          <t>Component</t>
        </is>
      </c>
      <c r="B2" s="11" t="inlineStr">
        <is>
          <t>FY 2024-25</t>
        </is>
      </c>
      <c r="C2" s="11" t="inlineStr">
        <is>
          <t>FY 2025-26</t>
        </is>
      </c>
      <c r="D2" s="11" t="inlineStr">
        <is>
          <t>FY 2026-27</t>
        </is>
      </c>
      <c r="E2" s="11" t="inlineStr">
        <is>
          <t>FY 2027-28</t>
        </is>
      </c>
      <c r="F2" s="11" t="inlineStr">
        <is>
          <t>FY 2028-29</t>
        </is>
      </c>
    </row>
    <row r="3">
      <c r="A3" s="4" t="inlineStr">
        <is>
          <t>FREE CASH FLOW TO FIRM (FCFF) – ₹ Millions</t>
        </is>
      </c>
      <c r="B3" s="2" t="n"/>
      <c r="C3" s="2" t="n"/>
      <c r="D3" s="2" t="n"/>
      <c r="E3" s="2" t="n"/>
      <c r="F3" s="3" t="n"/>
    </row>
    <row r="4">
      <c r="A4" s="7" t="inlineStr">
        <is>
          <t>Net Profit After Tax</t>
        </is>
      </c>
      <c r="B4" s="17">
        <f>'3-Statements Model'!B13</f>
        <v/>
      </c>
      <c r="C4" s="17">
        <f>'3-Statements Model'!C13</f>
        <v/>
      </c>
      <c r="D4" s="17">
        <f>'3-Statements Model'!D13</f>
        <v/>
      </c>
      <c r="E4" s="17">
        <f>'3-Statements Model'!E13</f>
        <v/>
      </c>
      <c r="F4" s="17">
        <f>'3-Statements Model'!F13</f>
        <v/>
      </c>
    </row>
    <row r="5">
      <c r="A5" s="7" t="inlineStr">
        <is>
          <t>Add: Interest Expense × (1 – Tax Rate)</t>
        </is>
      </c>
      <c r="B5" s="17">
        <f>'3-Statements Model'!B7*(1-Inputs!B64)</f>
        <v/>
      </c>
      <c r="C5" s="17">
        <f>'3-Statements Model'!C7*(1-Inputs!B64)</f>
        <v/>
      </c>
      <c r="D5" s="17">
        <f>'3-Statements Model'!D7*(1-Inputs!B64)</f>
        <v/>
      </c>
      <c r="E5" s="17">
        <f>'3-Statements Model'!E7*(1-Inputs!B64)</f>
        <v/>
      </c>
      <c r="F5" s="17">
        <f>'3-Statements Model'!F7*(1-Inputs!B64)</f>
        <v/>
      </c>
    </row>
    <row r="6">
      <c r="A6" s="7" t="inlineStr">
        <is>
          <t>Less: Change in Working Capital (net advances – deposits)</t>
        </is>
      </c>
      <c r="B6" s="17">
        <f>0</f>
        <v/>
      </c>
      <c r="C6" s="17">
        <f>(-('3-Statements Model'!C23-'3-Statements Model'!B23)+'3-Statements Model'!C29-'3-Statements Model'!B29)*10</f>
        <v/>
      </c>
      <c r="D6" s="17">
        <f>(-('3-Statements Model'!D23-'3-Statements Model'!C23)+'3-Statements Model'!D29-'3-Statements Model'!C29)*10</f>
        <v/>
      </c>
      <c r="E6" s="17">
        <f>(-('3-Statements Model'!E23-'3-Statements Model'!D23)+'3-Statements Model'!E29-'3-Statements Model'!D29)*10</f>
        <v/>
      </c>
      <c r="F6" s="17">
        <f>(-('3-Statements Model'!F23-'3-Statements Model'!E23)+'3-Statements Model'!F29-'3-Statements Model'!E29)*10</f>
        <v/>
      </c>
    </row>
    <row r="7">
      <c r="A7" s="7" t="inlineStr">
        <is>
          <t>Less: Capital Expenditure</t>
        </is>
      </c>
      <c r="B7" s="17">
        <f>'3-Statements Model'!B47</f>
        <v/>
      </c>
      <c r="C7" s="17">
        <f>'3-Statements Model'!C47</f>
        <v/>
      </c>
      <c r="D7" s="17">
        <f>'3-Statements Model'!D47</f>
        <v/>
      </c>
      <c r="E7" s="17">
        <f>'3-Statements Model'!E47</f>
        <v/>
      </c>
      <c r="F7" s="17">
        <f>'3-Statements Model'!F47</f>
        <v/>
      </c>
    </row>
    <row r="8">
      <c r="A8" s="14" t="inlineStr">
        <is>
          <t>FCFF (Net Profit + Interest×(1-t) + ΔWC + CapEx)</t>
        </is>
      </c>
      <c r="B8" s="18">
        <f>B4+B5+B6+B7</f>
        <v/>
      </c>
      <c r="C8" s="18">
        <f>C4+C5+C6+C7</f>
        <v/>
      </c>
      <c r="D8" s="18">
        <f>D4+D5+D6+D7</f>
        <v/>
      </c>
      <c r="E8" s="18">
        <f>E4+E5+E6+E7</f>
        <v/>
      </c>
      <c r="F8" s="18">
        <f>F4+F5+F6+F7</f>
        <v/>
      </c>
    </row>
    <row r="10">
      <c r="A10" s="4" t="inlineStr">
        <is>
          <t>WACC &amp; DISCOUNT RATE</t>
        </is>
      </c>
      <c r="B10" s="2" t="n"/>
      <c r="C10" s="2" t="n"/>
      <c r="D10" s="2" t="n"/>
      <c r="E10" s="2" t="n"/>
      <c r="F10" s="3" t="n"/>
    </row>
    <row r="11">
      <c r="A11" s="7" t="inlineStr">
        <is>
          <t>WACC %  (from Inputs)</t>
        </is>
      </c>
      <c r="B11" s="19">
        <f>Inputs!B83</f>
        <v/>
      </c>
    </row>
    <row r="12">
      <c r="A12" s="7" t="inlineStr">
        <is>
          <t>Terminal Growth Rate (g) %  (from Inputs)</t>
        </is>
      </c>
      <c r="B12" s="19">
        <f>Inputs!B86</f>
        <v/>
      </c>
    </row>
    <row r="13">
      <c r="A13" s="7" t="inlineStr">
        <is>
          <t>Terminal Value  (Year-5 FCFF × (1+g) / (WACC-g))</t>
        </is>
      </c>
      <c r="B13" s="18">
        <f>F8*(1+B12)/(B11-B12)</f>
        <v/>
      </c>
    </row>
    <row r="15">
      <c r="A15" s="4" t="inlineStr">
        <is>
          <t>PRESENT VALUE OF CASH FLOWS</t>
        </is>
      </c>
      <c r="B15" s="2" t="n"/>
      <c r="C15" s="2" t="n"/>
      <c r="D15" s="2" t="n"/>
      <c r="E15" s="2" t="n"/>
      <c r="F15" s="3" t="n"/>
    </row>
    <row r="16">
      <c r="A16" s="11" t="inlineStr">
        <is>
          <t>Period</t>
        </is>
      </c>
      <c r="B16" s="11" t="inlineStr">
        <is>
          <t>Year 1</t>
        </is>
      </c>
      <c r="C16" s="11" t="inlineStr">
        <is>
          <t>Year 2</t>
        </is>
      </c>
      <c r="D16" s="11" t="inlineStr">
        <is>
          <t>Year 3</t>
        </is>
      </c>
      <c r="E16" s="11" t="inlineStr">
        <is>
          <t>Year 4</t>
        </is>
      </c>
      <c r="F16" s="11" t="inlineStr">
        <is>
          <t>Year 5</t>
        </is>
      </c>
    </row>
    <row r="17">
      <c r="A17" s="7" t="inlineStr">
        <is>
          <t>FCFF  (₹ Mn)</t>
        </is>
      </c>
      <c r="B17" s="17">
        <f>B8</f>
        <v/>
      </c>
      <c r="C17" s="17">
        <f>C8</f>
        <v/>
      </c>
      <c r="D17" s="17">
        <f>D8</f>
        <v/>
      </c>
      <c r="E17" s="17">
        <f>E8</f>
        <v/>
      </c>
      <c r="F17" s="17">
        <f>F8</f>
        <v/>
      </c>
    </row>
    <row r="18">
      <c r="A18" s="7" t="inlineStr">
        <is>
          <t>Discount Factor  [1/(1+WACC)^n]</t>
        </is>
      </c>
      <c r="B18" s="20">
        <f>1/(1+B11)^1</f>
        <v/>
      </c>
      <c r="C18" s="20">
        <f>1/(1+B11)^2</f>
        <v/>
      </c>
      <c r="D18" s="20">
        <f>1/(1+B11)^3</f>
        <v/>
      </c>
      <c r="E18" s="20">
        <f>1/(1+B11)^4</f>
        <v/>
      </c>
      <c r="F18" s="20">
        <f>1/(1+B11)^5</f>
        <v/>
      </c>
    </row>
    <row r="19">
      <c r="A19" s="7" t="inlineStr">
        <is>
          <t>PV of FCFF  (₹ Mn)</t>
        </is>
      </c>
      <c r="B19" s="18">
        <f>B18*B17</f>
        <v/>
      </c>
      <c r="C19" s="18">
        <f>C18*C17</f>
        <v/>
      </c>
      <c r="D19" s="18">
        <f>D18*D17</f>
        <v/>
      </c>
      <c r="E19" s="18">
        <f>E18*E17</f>
        <v/>
      </c>
      <c r="F19" s="18">
        <f>F18*F17</f>
        <v/>
      </c>
    </row>
    <row r="21">
      <c r="A21" s="4" t="inlineStr">
        <is>
          <t>ENTERPRISE VALUE → EQUITY VALUE → IMPLIED PRICE</t>
        </is>
      </c>
      <c r="B21" s="2" t="n"/>
      <c r="C21" s="2" t="n"/>
      <c r="D21" s="2" t="n"/>
      <c r="E21" s="2" t="n"/>
      <c r="F21" s="3" t="n"/>
    </row>
    <row r="22">
      <c r="A22" s="7" t="inlineStr">
        <is>
          <t>Sum of PV of FCFFs  (₹ Mn)</t>
        </is>
      </c>
      <c r="B22" s="17">
        <f>SUM(B19:F19)</f>
        <v/>
      </c>
    </row>
    <row r="23">
      <c r="A23" s="7" t="inlineStr">
        <is>
          <t>PV of Terminal Value  (₹ Mn)</t>
        </is>
      </c>
      <c r="B23" s="17">
        <f>B13/(1+B11)^5</f>
        <v/>
      </c>
    </row>
    <row r="24">
      <c r="A24" s="14" t="inlineStr">
        <is>
          <t>Enterprise Value  (₹ Mn)</t>
        </is>
      </c>
      <c r="B24" s="18">
        <f>B22+B23</f>
        <v/>
      </c>
    </row>
    <row r="25">
      <c r="A25" s="7" t="inlineStr">
        <is>
          <t>Less: Net Debt  (Borrowings – Cash, ₹ Mn)</t>
        </is>
      </c>
      <c r="B25" s="17">
        <f>(Inputs!B38-Inputs!B33)*10</f>
        <v/>
      </c>
    </row>
    <row r="26">
      <c r="A26" s="14" t="inlineStr">
        <is>
          <t>Equity Value  (₹ Mn)</t>
        </is>
      </c>
      <c r="B26" s="18">
        <f>B24-B25</f>
        <v/>
      </c>
    </row>
    <row r="27">
      <c r="A27" s="7" t="inlineStr">
        <is>
          <t>Shares Outstanding  (Millions)</t>
        </is>
      </c>
      <c r="B27" s="17">
        <f>Inputs!B9*1000</f>
        <v/>
      </c>
    </row>
    <row r="28">
      <c r="A28" s="14" t="inlineStr">
        <is>
          <t>Implied Share Price  (₹)</t>
        </is>
      </c>
      <c r="B28" s="21">
        <f>B26/B27</f>
        <v/>
      </c>
    </row>
    <row r="29">
      <c r="A29" s="7" t="inlineStr">
        <is>
          <t>Current Market Price  (₹)</t>
        </is>
      </c>
      <c r="B29" s="22">
        <f>Inputs!B7</f>
        <v/>
      </c>
    </row>
    <row r="30">
      <c r="A30" s="14" t="inlineStr">
        <is>
          <t>Upside / Downside %</t>
        </is>
      </c>
      <c r="B30" s="23">
        <f>(B28-B29)/B29</f>
        <v/>
      </c>
    </row>
  </sheetData>
  <mergeCells count="5">
    <mergeCell ref="A10:F10"/>
    <mergeCell ref="A1:F1"/>
    <mergeCell ref="A3:F3"/>
    <mergeCell ref="A21:F2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L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24" customHeight="1">
      <c r="A1" s="1" t="inlineStr">
        <is>
          <t>IDBI BANK – TRADING COMPARABLES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1" t="inlineStr">
        <is>
          <t>Bank</t>
        </is>
      </c>
      <c r="B2" s="11" t="inlineStr">
        <is>
          <t>Market Cap
(₹ Cr)</t>
        </is>
      </c>
      <c r="C2" s="11" t="inlineStr">
        <is>
          <t>Stock Price
(₹)</t>
        </is>
      </c>
      <c r="D2" s="11" t="inlineStr">
        <is>
          <t>Shares
(Cr)</t>
        </is>
      </c>
      <c r="E2" s="11" t="inlineStr">
        <is>
          <t>Net Profit
(₹ Cr)</t>
        </is>
      </c>
      <c r="F2" s="11" t="inlineStr">
        <is>
          <t>NII / Rev.
(₹ Cr)</t>
        </is>
      </c>
      <c r="G2" s="11" t="inlineStr">
        <is>
          <t>BV / Share
(₹)</t>
        </is>
      </c>
      <c r="H2" s="11" t="inlineStr">
        <is>
          <t>EV/EBITDA</t>
        </is>
      </c>
      <c r="I2" s="11" t="inlineStr">
        <is>
          <t>EV/Rev.</t>
        </is>
      </c>
      <c r="J2" s="11" t="inlineStr">
        <is>
          <t>P/E</t>
        </is>
      </c>
      <c r="K2" s="11" t="inlineStr">
        <is>
          <t>P/B</t>
        </is>
      </c>
      <c r="L2" s="11" t="inlineStr">
        <is>
          <t>EV  (₹ Cr)</t>
        </is>
      </c>
    </row>
    <row r="3">
      <c r="A3" s="24" t="inlineStr">
        <is>
          <t>HDFC Bank</t>
        </is>
      </c>
      <c r="B3" s="17">
        <f>Inputs!B90</f>
        <v/>
      </c>
      <c r="C3" s="17">
        <f>Inputs!C90</f>
        <v/>
      </c>
      <c r="D3" s="17">
        <f>Inputs!D90</f>
        <v/>
      </c>
      <c r="E3" s="17">
        <f>Inputs!E90</f>
        <v/>
      </c>
      <c r="F3" s="17">
        <f>Inputs!F90</f>
        <v/>
      </c>
      <c r="G3" s="17">
        <f>Inputs!G90</f>
        <v/>
      </c>
      <c r="H3" s="25">
        <f>IF(E3=0,0,L3/(E3*1.3))</f>
        <v/>
      </c>
      <c r="I3" s="25">
        <f>IF(F3=0,0,L3/F3)</f>
        <v/>
      </c>
      <c r="J3" s="25">
        <f>IF(E3=0,0,C3*D3/E3)</f>
        <v/>
      </c>
      <c r="K3" s="25">
        <f>IF(G3=0,0,C3/G3)</f>
        <v/>
      </c>
      <c r="L3" s="17">
        <f>B3*1.15</f>
        <v/>
      </c>
    </row>
    <row r="4">
      <c r="A4" s="24" t="inlineStr">
        <is>
          <t>ICICI Bank</t>
        </is>
      </c>
      <c r="B4" s="17">
        <f>Inputs!B91</f>
        <v/>
      </c>
      <c r="C4" s="17">
        <f>Inputs!C91</f>
        <v/>
      </c>
      <c r="D4" s="17">
        <f>Inputs!D91</f>
        <v/>
      </c>
      <c r="E4" s="17">
        <f>Inputs!E91</f>
        <v/>
      </c>
      <c r="F4" s="17">
        <f>Inputs!F91</f>
        <v/>
      </c>
      <c r="G4" s="17">
        <f>Inputs!G91</f>
        <v/>
      </c>
      <c r="H4" s="25">
        <f>IF(E4=0,0,L4/(E4*1.3))</f>
        <v/>
      </c>
      <c r="I4" s="25">
        <f>IF(F4=0,0,L4/F4)</f>
        <v/>
      </c>
      <c r="J4" s="25">
        <f>IF(E4=0,0,C4*D4/E4)</f>
        <v/>
      </c>
      <c r="K4" s="25">
        <f>IF(G4=0,0,C4/G4)</f>
        <v/>
      </c>
      <c r="L4" s="17">
        <f>B4*1.15</f>
        <v/>
      </c>
    </row>
    <row r="5">
      <c r="A5" s="24" t="inlineStr">
        <is>
          <t>Axis Bank</t>
        </is>
      </c>
      <c r="B5" s="17">
        <f>Inputs!B92</f>
        <v/>
      </c>
      <c r="C5" s="17">
        <f>Inputs!C92</f>
        <v/>
      </c>
      <c r="D5" s="17">
        <f>Inputs!D92</f>
        <v/>
      </c>
      <c r="E5" s="17">
        <f>Inputs!E92</f>
        <v/>
      </c>
      <c r="F5" s="17">
        <f>Inputs!F92</f>
        <v/>
      </c>
      <c r="G5" s="17">
        <f>Inputs!G92</f>
        <v/>
      </c>
      <c r="H5" s="25">
        <f>IF(E5=0,0,L5/(E5*1.3))</f>
        <v/>
      </c>
      <c r="I5" s="25">
        <f>IF(F5=0,0,L5/F5)</f>
        <v/>
      </c>
      <c r="J5" s="25">
        <f>IF(E5=0,0,C5*D5/E5)</f>
        <v/>
      </c>
      <c r="K5" s="25">
        <f>IF(G5=0,0,C5/G5)</f>
        <v/>
      </c>
      <c r="L5" s="17">
        <f>B5*1.15</f>
        <v/>
      </c>
    </row>
    <row r="6">
      <c r="A6" s="24" t="inlineStr">
        <is>
          <t>SBI</t>
        </is>
      </c>
      <c r="B6" s="17">
        <f>Inputs!B93</f>
        <v/>
      </c>
      <c r="C6" s="17">
        <f>Inputs!C93</f>
        <v/>
      </c>
      <c r="D6" s="17">
        <f>Inputs!D93</f>
        <v/>
      </c>
      <c r="E6" s="17">
        <f>Inputs!E93</f>
        <v/>
      </c>
      <c r="F6" s="17">
        <f>Inputs!F93</f>
        <v/>
      </c>
      <c r="G6" s="17">
        <f>Inputs!G93</f>
        <v/>
      </c>
      <c r="H6" s="25">
        <f>IF(E6=0,0,L6/(E6*1.3))</f>
        <v/>
      </c>
      <c r="I6" s="25">
        <f>IF(F6=0,0,L6/F6)</f>
        <v/>
      </c>
      <c r="J6" s="25">
        <f>IF(E6=0,0,C6*D6/E6)</f>
        <v/>
      </c>
      <c r="K6" s="25">
        <f>IF(G6=0,0,C6/G6)</f>
        <v/>
      </c>
      <c r="L6" s="17">
        <f>B6*1.15</f>
        <v/>
      </c>
    </row>
    <row r="7">
      <c r="A7" s="24" t="inlineStr">
        <is>
          <t>Kotak Mahindra</t>
        </is>
      </c>
      <c r="B7" s="17">
        <f>Inputs!B94</f>
        <v/>
      </c>
      <c r="C7" s="17">
        <f>Inputs!C94</f>
        <v/>
      </c>
      <c r="D7" s="17">
        <f>Inputs!D94</f>
        <v/>
      </c>
      <c r="E7" s="17">
        <f>Inputs!E94</f>
        <v/>
      </c>
      <c r="F7" s="17">
        <f>Inputs!F94</f>
        <v/>
      </c>
      <c r="G7" s="17">
        <f>Inputs!G94</f>
        <v/>
      </c>
      <c r="H7" s="25">
        <f>IF(E7=0,0,L7/(E7*1.3))</f>
        <v/>
      </c>
      <c r="I7" s="25">
        <f>IF(F7=0,0,L7/F7)</f>
        <v/>
      </c>
      <c r="J7" s="25">
        <f>IF(E7=0,0,C7*D7/E7)</f>
        <v/>
      </c>
      <c r="K7" s="25">
        <f>IF(G7=0,0,C7/G7)</f>
        <v/>
      </c>
      <c r="L7" s="17">
        <f>B7*1.15</f>
        <v/>
      </c>
    </row>
    <row r="9">
      <c r="A9" s="14" t="inlineStr">
        <is>
          <t>Median</t>
        </is>
      </c>
      <c r="H9" s="26">
        <f>MEDIAN(H3:H7)</f>
        <v/>
      </c>
      <c r="I9" s="26">
        <f>MEDIAN(I3:I7)</f>
        <v/>
      </c>
      <c r="J9" s="26">
        <f>MEDIAN(J3:J7)</f>
        <v/>
      </c>
      <c r="K9" s="26">
        <f>MEDIAN(K3:K7)</f>
        <v/>
      </c>
    </row>
    <row r="10">
      <c r="A10" s="7" t="inlineStr">
        <is>
          <t>Min</t>
        </is>
      </c>
      <c r="H10" s="25">
        <f>MIN(H3:H7)</f>
        <v/>
      </c>
      <c r="I10" s="25">
        <f>MIN(I3:I7)</f>
        <v/>
      </c>
      <c r="J10" s="25">
        <f>MIN(J3:J7)</f>
        <v/>
      </c>
      <c r="K10" s="25">
        <f>MIN(K3:K7)</f>
        <v/>
      </c>
    </row>
    <row r="11">
      <c r="A11" s="7" t="inlineStr">
        <is>
          <t>Max</t>
        </is>
      </c>
      <c r="H11" s="25">
        <f>MAX(H3:H7)</f>
        <v/>
      </c>
      <c r="I11" s="25">
        <f>MAX(I3:I7)</f>
        <v/>
      </c>
      <c r="J11" s="25">
        <f>MAX(J3:J7)</f>
        <v/>
      </c>
      <c r="K11" s="25">
        <f>MAX(K3:K7)</f>
        <v/>
      </c>
    </row>
    <row r="13">
      <c r="A13" s="4" t="inlineStr">
        <is>
          <t>IDBI BANK – IMPLIED VALUATION (based on Peer Medians)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11" t="inlineStr">
        <is>
          <t>Metric</t>
        </is>
      </c>
      <c r="B14" s="11" t="inlineStr">
        <is>
          <t>Median Multiple</t>
        </is>
      </c>
      <c r="C14" s="11" t="inlineStr">
        <is>
          <t>IDBI Metric  (₹ Cr)</t>
        </is>
      </c>
      <c r="D14" s="11" t="inlineStr">
        <is>
          <t>Implied MC  (₹ Cr)</t>
        </is>
      </c>
      <c r="E14" s="11" t="inlineStr">
        <is>
          <t>Implied Price  (₹)</t>
        </is>
      </c>
      <c r="F14" s="11" t="inlineStr">
        <is>
          <t>CMP  (₹)</t>
        </is>
      </c>
      <c r="G14" s="11" t="inlineStr">
        <is>
          <t>Upside %</t>
        </is>
      </c>
    </row>
    <row r="15">
      <c r="A15" s="7" t="inlineStr">
        <is>
          <t>EV/EBITDA</t>
        </is>
      </c>
      <c r="B15" s="25">
        <f>H9</f>
        <v/>
      </c>
      <c r="C15" s="27">
        <f>Inputs!B28/10*1.3</f>
        <v/>
      </c>
      <c r="D15" s="17">
        <f>B15*C15/1.15</f>
        <v/>
      </c>
      <c r="E15" s="21">
        <f>D15*10/Inputs!B9</f>
        <v/>
      </c>
      <c r="F15" s="22">
        <f>Inputs!B7</f>
        <v/>
      </c>
      <c r="G15" s="23">
        <f>IF(F15=0,0,(E15-F15)/F15)</f>
        <v/>
      </c>
    </row>
    <row r="16">
      <c r="A16" s="7" t="inlineStr">
        <is>
          <t>EV/Revenue</t>
        </is>
      </c>
      <c r="B16" s="25">
        <f>I9</f>
        <v/>
      </c>
      <c r="C16" s="27">
        <f>Inputs!B23/10</f>
        <v/>
      </c>
      <c r="D16" s="17">
        <f>B16*C16/1.15</f>
        <v/>
      </c>
      <c r="E16" s="21">
        <f>D16*10/Inputs!B9</f>
        <v/>
      </c>
      <c r="F16" s="22">
        <f>Inputs!B7</f>
        <v/>
      </c>
      <c r="G16" s="23">
        <f>IF(F16=0,0,(E16-F16)/F16)</f>
        <v/>
      </c>
    </row>
    <row r="17">
      <c r="A17" s="7" t="inlineStr">
        <is>
          <t>P/E Ratio</t>
        </is>
      </c>
      <c r="B17" s="25">
        <f>J9</f>
        <v/>
      </c>
      <c r="C17" s="27">
        <f>Inputs!B14</f>
        <v/>
      </c>
      <c r="D17" s="17">
        <f>B17*C17*Inputs!B9*100</f>
        <v/>
      </c>
      <c r="E17" s="21">
        <f>B17*C17</f>
        <v/>
      </c>
      <c r="F17" s="22">
        <f>Inputs!B7</f>
        <v/>
      </c>
      <c r="G17" s="23">
        <f>IF(F17=0,0,(E17-F17)/F17)</f>
        <v/>
      </c>
    </row>
    <row r="18">
      <c r="A18" s="7" t="inlineStr">
        <is>
          <t>P/B Ratio</t>
        </is>
      </c>
      <c r="B18" s="25">
        <f>K9</f>
        <v/>
      </c>
      <c r="C18" s="27">
        <f>Inputs!B15</f>
        <v/>
      </c>
      <c r="D18" s="17">
        <f>B18*C18*Inputs!B9*100</f>
        <v/>
      </c>
      <c r="E18" s="21">
        <f>B18*C18</f>
        <v/>
      </c>
      <c r="F18" s="22">
        <f>Inputs!B7</f>
        <v/>
      </c>
      <c r="G18" s="23">
        <f>IF(F18=0,0,(E18-F18)/F18)</f>
        <v/>
      </c>
    </row>
  </sheetData>
  <mergeCells count="2">
    <mergeCell ref="A13:H1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IDBI BANK – SCENARIO ANALYSIS</t>
        </is>
      </c>
      <c r="B1" s="2" t="n"/>
      <c r="C1" s="2" t="n"/>
      <c r="D1" s="3" t="n"/>
    </row>
    <row r="2">
      <c r="A2" s="4" t="inlineStr">
        <is>
          <t>SCENARIO SELECTOR  (driven by Inputs sheet)</t>
        </is>
      </c>
      <c r="B2" s="2" t="n"/>
      <c r="C2" s="2" t="n"/>
      <c r="D2" s="3" t="n"/>
    </row>
    <row r="3">
      <c r="A3" s="7" t="inlineStr">
        <is>
          <t>Active Scenario:</t>
        </is>
      </c>
      <c r="B3" s="28">
        <f>Inputs!B70</f>
        <v/>
      </c>
    </row>
    <row r="5">
      <c r="A5" s="4" t="inlineStr">
        <is>
          <t>KEY ASSUMPTIONS BY SCENARIO</t>
        </is>
      </c>
      <c r="B5" s="2" t="n"/>
      <c r="C5" s="2" t="n"/>
      <c r="D5" s="3" t="n"/>
    </row>
    <row r="6">
      <c r="A6" s="11" t="inlineStr">
        <is>
          <t>Assumption</t>
        </is>
      </c>
      <c r="B6" s="11" t="inlineStr">
        <is>
          <t>Base Case</t>
        </is>
      </c>
      <c r="C6" s="11" t="inlineStr">
        <is>
          <t>Bull Case</t>
        </is>
      </c>
      <c r="D6" s="11" t="inlineStr">
        <is>
          <t>Bear Case</t>
        </is>
      </c>
    </row>
    <row r="7">
      <c r="A7" s="7" t="inlineStr">
        <is>
          <t>Interest Income Growth %</t>
        </is>
      </c>
      <c r="B7" s="19">
        <f>Inputs!B56</f>
        <v/>
      </c>
      <c r="C7" s="19">
        <f>Inputs!C56</f>
        <v/>
      </c>
      <c r="D7" s="19">
        <f>Inputs!D56</f>
        <v/>
      </c>
    </row>
    <row r="8">
      <c r="A8" s="7" t="inlineStr">
        <is>
          <t>NII Growth %</t>
        </is>
      </c>
      <c r="B8" s="19">
        <f>Inputs!B57</f>
        <v/>
      </c>
      <c r="C8" s="19">
        <f>Inputs!C57</f>
        <v/>
      </c>
      <c r="D8" s="19">
        <f>Inputs!D57</f>
        <v/>
      </c>
    </row>
    <row r="9">
      <c r="A9" s="7" t="inlineStr">
        <is>
          <t>Cost to Income Ratio %</t>
        </is>
      </c>
      <c r="B9" s="19">
        <f>Inputs!B59</f>
        <v/>
      </c>
      <c r="C9" s="19">
        <f>Inputs!C59</f>
        <v/>
      </c>
      <c r="D9" s="19">
        <f>Inputs!D59</f>
        <v/>
      </c>
    </row>
    <row r="10">
      <c r="A10" s="7" t="inlineStr">
        <is>
          <t>Advance Growth %</t>
        </is>
      </c>
      <c r="B10" s="19">
        <f>Inputs!B61</f>
        <v/>
      </c>
      <c r="C10" s="19">
        <f>Inputs!C61</f>
        <v/>
      </c>
      <c r="D10" s="19">
        <f>Inputs!D61</f>
        <v/>
      </c>
    </row>
    <row r="11">
      <c r="A11" s="7" t="inlineStr">
        <is>
          <t>Deposit Growth %</t>
        </is>
      </c>
      <c r="B11" s="19">
        <f>Inputs!B62</f>
        <v/>
      </c>
      <c r="C11" s="19">
        <f>Inputs!C62</f>
        <v/>
      </c>
      <c r="D11" s="19">
        <f>Inputs!D62</f>
        <v/>
      </c>
    </row>
    <row r="12">
      <c r="A12" s="7" t="inlineStr">
        <is>
          <t>Provision Coverage %</t>
        </is>
      </c>
      <c r="B12" s="19">
        <f>Inputs!B63</f>
        <v/>
      </c>
      <c r="C12" s="19">
        <f>Inputs!C63</f>
        <v/>
      </c>
      <c r="D12" s="19">
        <f>Inputs!D63</f>
        <v/>
      </c>
    </row>
    <row r="13">
      <c r="A13" s="7" t="inlineStr">
        <is>
          <t>Tax Rate %</t>
        </is>
      </c>
      <c r="B13" s="19">
        <f>Inputs!B64</f>
        <v/>
      </c>
      <c r="C13" s="19">
        <f>Inputs!C64</f>
        <v/>
      </c>
      <c r="D13" s="19">
        <f>Inputs!D64</f>
        <v/>
      </c>
    </row>
    <row r="15">
      <c r="A15" s="4" t="inlineStr">
        <is>
          <t>P&amp;L RESULTS – FY 2028-29 PROJECTIONS  (₹ Millions)</t>
        </is>
      </c>
      <c r="B15" s="2" t="n"/>
      <c r="C15" s="2" t="n"/>
      <c r="D15" s="3" t="n"/>
    </row>
    <row r="16">
      <c r="A16" s="11" t="inlineStr">
        <is>
          <t>Metric</t>
        </is>
      </c>
      <c r="B16" s="11" t="inlineStr">
        <is>
          <t>Base Case</t>
        </is>
      </c>
      <c r="C16" s="11" t="inlineStr">
        <is>
          <t>Bull Case</t>
        </is>
      </c>
      <c r="D16" s="11" t="inlineStr">
        <is>
          <t>Bear Case</t>
        </is>
      </c>
    </row>
    <row r="17">
      <c r="A17" s="7" t="inlineStr">
        <is>
          <t>Interest Income  (₹ Mn)</t>
        </is>
      </c>
      <c r="B17" s="17">
        <f>Inputs!B19*(1+Inputs!B56)^4</f>
        <v/>
      </c>
      <c r="C17" s="17">
        <f>Inputs!B19*(1+Inputs!C56)^4</f>
        <v/>
      </c>
      <c r="D17" s="17">
        <f>Inputs!B19*(1+Inputs!D56)^4</f>
        <v/>
      </c>
    </row>
    <row r="18">
      <c r="A18" s="7" t="inlineStr">
        <is>
          <t>Net Interest Income  (₹ Mn)</t>
        </is>
      </c>
      <c r="B18" s="17">
        <f>Inputs!B23*(1+Inputs!B57)^4</f>
        <v/>
      </c>
      <c r="C18" s="17">
        <f>Inputs!B23*(1+Inputs!C57)^4</f>
        <v/>
      </c>
      <c r="D18" s="17">
        <f>Inputs!B23*(1+Inputs!D57)^4</f>
        <v/>
      </c>
    </row>
    <row r="19">
      <c r="A19" s="7" t="inlineStr">
        <is>
          <t>Operating Expenses  (₹ Mn)</t>
        </is>
      </c>
      <c r="B19" s="17">
        <f>Inputs!B19*(1+Inputs!B56)^4*Inputs!B59</f>
        <v/>
      </c>
      <c r="C19" s="17">
        <f>Inputs!B19*(1+Inputs!C56)^4*Inputs!C59</f>
        <v/>
      </c>
      <c r="D19" s="17">
        <f>Inputs!B19*(1+Inputs!D56)^4*Inputs!D59</f>
        <v/>
      </c>
    </row>
    <row r="20">
      <c r="A20" s="7" t="inlineStr">
        <is>
          <t>Provisions  (₹ Mn)</t>
        </is>
      </c>
      <c r="B20" s="17">
        <f>B18*Inputs!B63</f>
        <v/>
      </c>
      <c r="C20" s="17">
        <f>C18*Inputs!C63</f>
        <v/>
      </c>
      <c r="D20" s="17">
        <f>D18*Inputs!D63</f>
        <v/>
      </c>
    </row>
    <row r="21">
      <c r="A21" s="14" t="inlineStr">
        <is>
          <t>Net Profit After Tax  (₹ Mn)</t>
        </is>
      </c>
      <c r="B21" s="18">
        <f>(B18-Inputs!B19*(1+Inputs!B56)^4*Inputs!B59-B20)*(1-Inputs!B64)</f>
        <v/>
      </c>
      <c r="C21" s="18">
        <f>(C18-Inputs!B19*(1+Inputs!C56)^4*Inputs!C59-C20)*(1-Inputs!C64)</f>
        <v/>
      </c>
      <c r="D21" s="18">
        <f>(D18-Inputs!B19*(1+Inputs!D56)^4*Inputs!D59-D20)*(1-Inputs!D64)</f>
        <v/>
      </c>
    </row>
    <row r="23">
      <c r="A23" s="4" t="inlineStr">
        <is>
          <t>VALUATION SUMMARY BY SCENARIO</t>
        </is>
      </c>
      <c r="B23" s="2" t="n"/>
      <c r="C23" s="2" t="n"/>
      <c r="D23" s="3" t="n"/>
    </row>
    <row r="24">
      <c r="A24" s="11" t="inlineStr">
        <is>
          <t>Metric</t>
        </is>
      </c>
      <c r="B24" s="11" t="inlineStr">
        <is>
          <t>Base Case</t>
        </is>
      </c>
      <c r="C24" s="11" t="inlineStr">
        <is>
          <t>Bull Case</t>
        </is>
      </c>
      <c r="D24" s="11" t="inlineStr">
        <is>
          <t>Bear Case</t>
        </is>
      </c>
    </row>
    <row r="25">
      <c r="A25" s="7" t="inlineStr">
        <is>
          <t>Terminal FCFF  (NPAT FY28-29 × (1+g), ₹ Mn)</t>
        </is>
      </c>
      <c r="B25" s="17">
        <f>B21*(1+Inputs!B56)</f>
        <v/>
      </c>
      <c r="C25" s="17">
        <f>C21*(1+Inputs!C56)</f>
        <v/>
      </c>
      <c r="D25" s="17">
        <f>D21*(1+Inputs!D56)</f>
        <v/>
      </c>
    </row>
    <row r="26">
      <c r="A26" s="7" t="inlineStr">
        <is>
          <t>WACC  (%)</t>
        </is>
      </c>
      <c r="B26" s="19">
        <f>'DCF Valuation'!B11</f>
        <v/>
      </c>
      <c r="C26" s="19">
        <f>'DCF Valuation'!B11</f>
        <v/>
      </c>
      <c r="D26" s="19">
        <f>'DCF Valuation'!B11</f>
        <v/>
      </c>
    </row>
    <row r="27">
      <c r="A27" s="14" t="inlineStr">
        <is>
          <t>Implied Share Price  (₹)</t>
        </is>
      </c>
      <c r="B27" s="21">
        <f>(B25*(1+'DCF Valuation'!B12)/(MAX('DCF Valuation'!B11-'DCF Valuation'!B12,0.001)))/'DCF Valuation'!B27</f>
        <v/>
      </c>
      <c r="C27" s="21">
        <f>(C25*(1+'DCF Valuation'!B12)/(MAX('DCF Valuation'!B11-'DCF Valuation'!B12,0.001)))/'DCF Valuation'!B27</f>
        <v/>
      </c>
      <c r="D27" s="21">
        <f>(D25*(1+'DCF Valuation'!B12)/(MAX('DCF Valuation'!B11-'DCF Valuation'!B12,0.001)))/'DCF Valuation'!B27</f>
        <v/>
      </c>
    </row>
    <row r="28">
      <c r="A28" s="7" t="inlineStr">
        <is>
          <t>Current Market Price  (₹)</t>
        </is>
      </c>
      <c r="B28" s="22">
        <f>Inputs!B7</f>
        <v/>
      </c>
      <c r="C28" s="22">
        <f>Inputs!B7</f>
        <v/>
      </c>
      <c r="D28" s="22">
        <f>Inputs!B7</f>
        <v/>
      </c>
    </row>
    <row r="29">
      <c r="A29" s="14" t="inlineStr">
        <is>
          <t>Upside / Downside  (%)</t>
        </is>
      </c>
      <c r="B29" s="23">
        <f>(B27-Inputs!B7)/Inputs!B7</f>
        <v/>
      </c>
      <c r="C29" s="23">
        <f>(C27-Inputs!B7)/Inputs!B7</f>
        <v/>
      </c>
      <c r="D29" s="23">
        <f>(D27-Inputs!B7)/Inputs!B7</f>
        <v/>
      </c>
    </row>
  </sheetData>
  <mergeCells count="5">
    <mergeCell ref="A1:D1"/>
    <mergeCell ref="A23:D23"/>
    <mergeCell ref="A5:D5"/>
    <mergeCell ref="A15:D15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SENSITIVITY ANALYSIS – Implied Share Price (₹)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9" t="inlineStr">
        <is>
          <t>2-Way Table: WACC (columns, %) vs Terminal Growth Rate (rows, %)</t>
        </is>
      </c>
    </row>
    <row r="3">
      <c r="A3" s="30" t="inlineStr">
        <is>
          <t>TGR \ WACC</t>
        </is>
      </c>
      <c r="B3" s="31" t="n">
        <v>0.08</v>
      </c>
      <c r="C3" s="31" t="n">
        <v>0.09</v>
      </c>
      <c r="D3" s="32" t="n">
        <v>0.1</v>
      </c>
      <c r="E3" s="31" t="n">
        <v>0.11</v>
      </c>
      <c r="F3" s="31" t="n">
        <v>0.12</v>
      </c>
      <c r="G3" s="31" t="n">
        <v>0.13</v>
      </c>
      <c r="H3" s="31" t="n">
        <v>0.14</v>
      </c>
    </row>
    <row r="4">
      <c r="A4" s="31" t="n">
        <v>0.02</v>
      </c>
      <c r="B4" s="33">
        <f>('DCF Valuation'!B8/(1+0.08)^1+'DCF Valuation'!C8/(1+0.08)^2+'DCF Valuation'!D8/(1+0.08)^3+'DCF Valuation'!E8/(1+0.08)^4+'DCF Valuation'!F8/(1+0.08)^5+'DCF Valuation'!F8*(1+0.02)/(MAX(0.08-0.02,0.0001))/(1+0.08)^5)/'DCF Valuation'!B27</f>
        <v/>
      </c>
      <c r="C4" s="33">
        <f>('DCF Valuation'!B8/(1+0.09)^1+'DCF Valuation'!C8/(1+0.09)^2+'DCF Valuation'!D8/(1+0.09)^3+'DCF Valuation'!E8/(1+0.09)^4+'DCF Valuation'!F8/(1+0.09)^5+'DCF Valuation'!F8*(1+0.02)/(MAX(0.09-0.02,0.0001))/(1+0.09)^5)/'DCF Valuation'!B27</f>
        <v/>
      </c>
      <c r="D4" s="34">
        <f>('DCF Valuation'!B8/(1+0.1)^1+'DCF Valuation'!C8/(1+0.1)^2+'DCF Valuation'!D8/(1+0.1)^3+'DCF Valuation'!E8/(1+0.1)^4+'DCF Valuation'!F8/(1+0.1)^5+'DCF Valuation'!F8*(1+0.02)/(MAX(0.1-0.02,0.0001))/(1+0.1)^5)/'DCF Valuation'!B27</f>
        <v/>
      </c>
      <c r="E4" s="33">
        <f>('DCF Valuation'!B8/(1+0.11)^1+'DCF Valuation'!C8/(1+0.11)^2+'DCF Valuation'!D8/(1+0.11)^3+'DCF Valuation'!E8/(1+0.11)^4+'DCF Valuation'!F8/(1+0.11)^5+'DCF Valuation'!F8*(1+0.02)/(MAX(0.11-0.02,0.0001))/(1+0.11)^5)/'DCF Valuation'!B27</f>
        <v/>
      </c>
      <c r="F4" s="33">
        <f>('DCF Valuation'!B8/(1+0.12)^1+'DCF Valuation'!C8/(1+0.12)^2+'DCF Valuation'!D8/(1+0.12)^3+'DCF Valuation'!E8/(1+0.12)^4+'DCF Valuation'!F8/(1+0.12)^5+'DCF Valuation'!F8*(1+0.02)/(MAX(0.12-0.02,0.0001))/(1+0.12)^5)/'DCF Valuation'!B27</f>
        <v/>
      </c>
      <c r="G4" s="33">
        <f>('DCF Valuation'!B8/(1+0.13)^1+'DCF Valuation'!C8/(1+0.13)^2+'DCF Valuation'!D8/(1+0.13)^3+'DCF Valuation'!E8/(1+0.13)^4+'DCF Valuation'!F8/(1+0.13)^5+'DCF Valuation'!F8*(1+0.02)/(MAX(0.13-0.02,0.0001))/(1+0.13)^5)/'DCF Valuation'!B27</f>
        <v/>
      </c>
      <c r="H4" s="33">
        <f>('DCF Valuation'!B8/(1+0.14)^1+'DCF Valuation'!C8/(1+0.14)^2+'DCF Valuation'!D8/(1+0.14)^3+'DCF Valuation'!E8/(1+0.14)^4+'DCF Valuation'!F8/(1+0.14)^5+'DCF Valuation'!F8*(1+0.02)/(MAX(0.14-0.02,0.0001))/(1+0.14)^5)/'DCF Valuation'!B27</f>
        <v/>
      </c>
    </row>
    <row r="5">
      <c r="A5" s="31" t="n">
        <v>0.025</v>
      </c>
      <c r="B5" s="33">
        <f>('DCF Valuation'!B8/(1+0.08)^1+'DCF Valuation'!C8/(1+0.08)^2+'DCF Valuation'!D8/(1+0.08)^3+'DCF Valuation'!E8/(1+0.08)^4+'DCF Valuation'!F8/(1+0.08)^5+'DCF Valuation'!F8*(1+0.025)/(MAX(0.08-0.025,0.0001))/(1+0.08)^5)/'DCF Valuation'!B27</f>
        <v/>
      </c>
      <c r="C5" s="33">
        <f>('DCF Valuation'!B8/(1+0.09)^1+'DCF Valuation'!C8/(1+0.09)^2+'DCF Valuation'!D8/(1+0.09)^3+'DCF Valuation'!E8/(1+0.09)^4+'DCF Valuation'!F8/(1+0.09)^5+'DCF Valuation'!F8*(1+0.025)/(MAX(0.09-0.025,0.0001))/(1+0.09)^5)/'DCF Valuation'!B27</f>
        <v/>
      </c>
      <c r="D5" s="34">
        <f>('DCF Valuation'!B8/(1+0.1)^1+'DCF Valuation'!C8/(1+0.1)^2+'DCF Valuation'!D8/(1+0.1)^3+'DCF Valuation'!E8/(1+0.1)^4+'DCF Valuation'!F8/(1+0.1)^5+'DCF Valuation'!F8*(1+0.025)/(MAX(0.1-0.025,0.0001))/(1+0.1)^5)/'DCF Valuation'!B27</f>
        <v/>
      </c>
      <c r="E5" s="33">
        <f>('DCF Valuation'!B8/(1+0.11)^1+'DCF Valuation'!C8/(1+0.11)^2+'DCF Valuation'!D8/(1+0.11)^3+'DCF Valuation'!E8/(1+0.11)^4+'DCF Valuation'!F8/(1+0.11)^5+'DCF Valuation'!F8*(1+0.025)/(MAX(0.11-0.025,0.0001))/(1+0.11)^5)/'DCF Valuation'!B27</f>
        <v/>
      </c>
      <c r="F5" s="33">
        <f>('DCF Valuation'!B8/(1+0.12)^1+'DCF Valuation'!C8/(1+0.12)^2+'DCF Valuation'!D8/(1+0.12)^3+'DCF Valuation'!E8/(1+0.12)^4+'DCF Valuation'!F8/(1+0.12)^5+'DCF Valuation'!F8*(1+0.025)/(MAX(0.12-0.025,0.0001))/(1+0.12)^5)/'DCF Valuation'!B27</f>
        <v/>
      </c>
      <c r="G5" s="33">
        <f>('DCF Valuation'!B8/(1+0.13)^1+'DCF Valuation'!C8/(1+0.13)^2+'DCF Valuation'!D8/(1+0.13)^3+'DCF Valuation'!E8/(1+0.13)^4+'DCF Valuation'!F8/(1+0.13)^5+'DCF Valuation'!F8*(1+0.025)/(MAX(0.13-0.025,0.0001))/(1+0.13)^5)/'DCF Valuation'!B27</f>
        <v/>
      </c>
      <c r="H5" s="33">
        <f>('DCF Valuation'!B8/(1+0.14)^1+'DCF Valuation'!C8/(1+0.14)^2+'DCF Valuation'!D8/(1+0.14)^3+'DCF Valuation'!E8/(1+0.14)^4+'DCF Valuation'!F8/(1+0.14)^5+'DCF Valuation'!F8*(1+0.025)/(MAX(0.14-0.025,0.0001))/(1+0.14)^5)/'DCF Valuation'!B27</f>
        <v/>
      </c>
    </row>
    <row r="6">
      <c r="A6" s="32" t="n">
        <v>0.03</v>
      </c>
      <c r="B6" s="34">
        <f>('DCF Valuation'!B8/(1+0.08)^1+'DCF Valuation'!C8/(1+0.08)^2+'DCF Valuation'!D8/(1+0.08)^3+'DCF Valuation'!E8/(1+0.08)^4+'DCF Valuation'!F8/(1+0.08)^5+'DCF Valuation'!F8*(1+0.03)/(MAX(0.08-0.03,0.0001))/(1+0.08)^5)/'DCF Valuation'!B27</f>
        <v/>
      </c>
      <c r="C6" s="34">
        <f>('DCF Valuation'!B8/(1+0.09)^1+'DCF Valuation'!C8/(1+0.09)^2+'DCF Valuation'!D8/(1+0.09)^3+'DCF Valuation'!E8/(1+0.09)^4+'DCF Valuation'!F8/(1+0.09)^5+'DCF Valuation'!F8*(1+0.03)/(MAX(0.09-0.03,0.0001))/(1+0.09)^5)/'DCF Valuation'!B27</f>
        <v/>
      </c>
      <c r="D6" s="35">
        <f>('DCF Valuation'!B8/(1+0.1)^1+'DCF Valuation'!C8/(1+0.1)^2+'DCF Valuation'!D8/(1+0.1)^3+'DCF Valuation'!E8/(1+0.1)^4+'DCF Valuation'!F8/(1+0.1)^5+'DCF Valuation'!F8*(1+0.03)/(MAX(0.1-0.03,0.0001))/(1+0.1)^5)/'DCF Valuation'!B27</f>
        <v/>
      </c>
      <c r="E6" s="34">
        <f>('DCF Valuation'!B8/(1+0.11)^1+'DCF Valuation'!C8/(1+0.11)^2+'DCF Valuation'!D8/(1+0.11)^3+'DCF Valuation'!E8/(1+0.11)^4+'DCF Valuation'!F8/(1+0.11)^5+'DCF Valuation'!F8*(1+0.03)/(MAX(0.11-0.03,0.0001))/(1+0.11)^5)/'DCF Valuation'!B27</f>
        <v/>
      </c>
      <c r="F6" s="34">
        <f>('DCF Valuation'!B8/(1+0.12)^1+'DCF Valuation'!C8/(1+0.12)^2+'DCF Valuation'!D8/(1+0.12)^3+'DCF Valuation'!E8/(1+0.12)^4+'DCF Valuation'!F8/(1+0.12)^5+'DCF Valuation'!F8*(1+0.03)/(MAX(0.12-0.03,0.0001))/(1+0.12)^5)/'DCF Valuation'!B27</f>
        <v/>
      </c>
      <c r="G6" s="34">
        <f>('DCF Valuation'!B8/(1+0.13)^1+'DCF Valuation'!C8/(1+0.13)^2+'DCF Valuation'!D8/(1+0.13)^3+'DCF Valuation'!E8/(1+0.13)^4+'DCF Valuation'!F8/(1+0.13)^5+'DCF Valuation'!F8*(1+0.03)/(MAX(0.13-0.03,0.0001))/(1+0.13)^5)/'DCF Valuation'!B27</f>
        <v/>
      </c>
      <c r="H6" s="34">
        <f>('DCF Valuation'!B8/(1+0.14)^1+'DCF Valuation'!C8/(1+0.14)^2+'DCF Valuation'!D8/(1+0.14)^3+'DCF Valuation'!E8/(1+0.14)^4+'DCF Valuation'!F8/(1+0.14)^5+'DCF Valuation'!F8*(1+0.03)/(MAX(0.14-0.03,0.0001))/(1+0.14)^5)/'DCF Valuation'!B27</f>
        <v/>
      </c>
    </row>
    <row r="7">
      <c r="A7" s="31" t="n">
        <v>0.035</v>
      </c>
      <c r="B7" s="33">
        <f>('DCF Valuation'!B8/(1+0.08)^1+'DCF Valuation'!C8/(1+0.08)^2+'DCF Valuation'!D8/(1+0.08)^3+'DCF Valuation'!E8/(1+0.08)^4+'DCF Valuation'!F8/(1+0.08)^5+'DCF Valuation'!F8*(1+0.035)/(MAX(0.08-0.035,0.0001))/(1+0.08)^5)/'DCF Valuation'!B27</f>
        <v/>
      </c>
      <c r="C7" s="33">
        <f>('DCF Valuation'!B8/(1+0.09)^1+'DCF Valuation'!C8/(1+0.09)^2+'DCF Valuation'!D8/(1+0.09)^3+'DCF Valuation'!E8/(1+0.09)^4+'DCF Valuation'!F8/(1+0.09)^5+'DCF Valuation'!F8*(1+0.035)/(MAX(0.09-0.035,0.0001))/(1+0.09)^5)/'DCF Valuation'!B27</f>
        <v/>
      </c>
      <c r="D7" s="34">
        <f>('DCF Valuation'!B8/(1+0.1)^1+'DCF Valuation'!C8/(1+0.1)^2+'DCF Valuation'!D8/(1+0.1)^3+'DCF Valuation'!E8/(1+0.1)^4+'DCF Valuation'!F8/(1+0.1)^5+'DCF Valuation'!F8*(1+0.035)/(MAX(0.1-0.035,0.0001))/(1+0.1)^5)/'DCF Valuation'!B27</f>
        <v/>
      </c>
      <c r="E7" s="33">
        <f>('DCF Valuation'!B8/(1+0.11)^1+'DCF Valuation'!C8/(1+0.11)^2+'DCF Valuation'!D8/(1+0.11)^3+'DCF Valuation'!E8/(1+0.11)^4+'DCF Valuation'!F8/(1+0.11)^5+'DCF Valuation'!F8*(1+0.035)/(MAX(0.11-0.035,0.0001))/(1+0.11)^5)/'DCF Valuation'!B27</f>
        <v/>
      </c>
      <c r="F7" s="33">
        <f>('DCF Valuation'!B8/(1+0.12)^1+'DCF Valuation'!C8/(1+0.12)^2+'DCF Valuation'!D8/(1+0.12)^3+'DCF Valuation'!E8/(1+0.12)^4+'DCF Valuation'!F8/(1+0.12)^5+'DCF Valuation'!F8*(1+0.035)/(MAX(0.12-0.035,0.0001))/(1+0.12)^5)/'DCF Valuation'!B27</f>
        <v/>
      </c>
      <c r="G7" s="33">
        <f>('DCF Valuation'!B8/(1+0.13)^1+'DCF Valuation'!C8/(1+0.13)^2+'DCF Valuation'!D8/(1+0.13)^3+'DCF Valuation'!E8/(1+0.13)^4+'DCF Valuation'!F8/(1+0.13)^5+'DCF Valuation'!F8*(1+0.035)/(MAX(0.13-0.035,0.0001))/(1+0.13)^5)/'DCF Valuation'!B27</f>
        <v/>
      </c>
      <c r="H7" s="33">
        <f>('DCF Valuation'!B8/(1+0.14)^1+'DCF Valuation'!C8/(1+0.14)^2+'DCF Valuation'!D8/(1+0.14)^3+'DCF Valuation'!E8/(1+0.14)^4+'DCF Valuation'!F8/(1+0.14)^5+'DCF Valuation'!F8*(1+0.035)/(MAX(0.14-0.035,0.0001))/(1+0.14)^5)/'DCF Valuation'!B27</f>
        <v/>
      </c>
    </row>
    <row r="8">
      <c r="A8" s="31" t="n">
        <v>0.04</v>
      </c>
      <c r="B8" s="33">
        <f>('DCF Valuation'!B8/(1+0.08)^1+'DCF Valuation'!C8/(1+0.08)^2+'DCF Valuation'!D8/(1+0.08)^3+'DCF Valuation'!E8/(1+0.08)^4+'DCF Valuation'!F8/(1+0.08)^5+'DCF Valuation'!F8*(1+0.04)/(MAX(0.08-0.04,0.0001))/(1+0.08)^5)/'DCF Valuation'!B27</f>
        <v/>
      </c>
      <c r="C8" s="33">
        <f>('DCF Valuation'!B8/(1+0.09)^1+'DCF Valuation'!C8/(1+0.09)^2+'DCF Valuation'!D8/(1+0.09)^3+'DCF Valuation'!E8/(1+0.09)^4+'DCF Valuation'!F8/(1+0.09)^5+'DCF Valuation'!F8*(1+0.04)/(MAX(0.09-0.04,0.0001))/(1+0.09)^5)/'DCF Valuation'!B27</f>
        <v/>
      </c>
      <c r="D8" s="34">
        <f>('DCF Valuation'!B8/(1+0.1)^1+'DCF Valuation'!C8/(1+0.1)^2+'DCF Valuation'!D8/(1+0.1)^3+'DCF Valuation'!E8/(1+0.1)^4+'DCF Valuation'!F8/(1+0.1)^5+'DCF Valuation'!F8*(1+0.04)/(MAX(0.1-0.04,0.0001))/(1+0.1)^5)/'DCF Valuation'!B27</f>
        <v/>
      </c>
      <c r="E8" s="33">
        <f>('DCF Valuation'!B8/(1+0.11)^1+'DCF Valuation'!C8/(1+0.11)^2+'DCF Valuation'!D8/(1+0.11)^3+'DCF Valuation'!E8/(1+0.11)^4+'DCF Valuation'!F8/(1+0.11)^5+'DCF Valuation'!F8*(1+0.04)/(MAX(0.11-0.04,0.0001))/(1+0.11)^5)/'DCF Valuation'!B27</f>
        <v/>
      </c>
      <c r="F8" s="33">
        <f>('DCF Valuation'!B8/(1+0.12)^1+'DCF Valuation'!C8/(1+0.12)^2+'DCF Valuation'!D8/(1+0.12)^3+'DCF Valuation'!E8/(1+0.12)^4+'DCF Valuation'!F8/(1+0.12)^5+'DCF Valuation'!F8*(1+0.04)/(MAX(0.12-0.04,0.0001))/(1+0.12)^5)/'DCF Valuation'!B27</f>
        <v/>
      </c>
      <c r="G8" s="33">
        <f>('DCF Valuation'!B8/(1+0.13)^1+'DCF Valuation'!C8/(1+0.13)^2+'DCF Valuation'!D8/(1+0.13)^3+'DCF Valuation'!E8/(1+0.13)^4+'DCF Valuation'!F8/(1+0.13)^5+'DCF Valuation'!F8*(1+0.04)/(MAX(0.13-0.04,0.0001))/(1+0.13)^5)/'DCF Valuation'!B27</f>
        <v/>
      </c>
      <c r="H8" s="33">
        <f>('DCF Valuation'!B8/(1+0.14)^1+'DCF Valuation'!C8/(1+0.14)^2+'DCF Valuation'!D8/(1+0.14)^3+'DCF Valuation'!E8/(1+0.14)^4+'DCF Valuation'!F8/(1+0.14)^5+'DCF Valuation'!F8*(1+0.04)/(MAX(0.14-0.04,0.0001))/(1+0.14)^5)/'DCF Valuation'!B27</f>
        <v/>
      </c>
    </row>
    <row r="9">
      <c r="A9" s="31" t="n">
        <v>0.045</v>
      </c>
      <c r="B9" s="33">
        <f>('DCF Valuation'!B8/(1+0.08)^1+'DCF Valuation'!C8/(1+0.08)^2+'DCF Valuation'!D8/(1+0.08)^3+'DCF Valuation'!E8/(1+0.08)^4+'DCF Valuation'!F8/(1+0.08)^5+'DCF Valuation'!F8*(1+0.045)/(MAX(0.08-0.045,0.0001))/(1+0.08)^5)/'DCF Valuation'!B27</f>
        <v/>
      </c>
      <c r="C9" s="33">
        <f>('DCF Valuation'!B8/(1+0.09)^1+'DCF Valuation'!C8/(1+0.09)^2+'DCF Valuation'!D8/(1+0.09)^3+'DCF Valuation'!E8/(1+0.09)^4+'DCF Valuation'!F8/(1+0.09)^5+'DCF Valuation'!F8*(1+0.045)/(MAX(0.09-0.045,0.0001))/(1+0.09)^5)/'DCF Valuation'!B27</f>
        <v/>
      </c>
      <c r="D9" s="34">
        <f>('DCF Valuation'!B8/(1+0.1)^1+'DCF Valuation'!C8/(1+0.1)^2+'DCF Valuation'!D8/(1+0.1)^3+'DCF Valuation'!E8/(1+0.1)^4+'DCF Valuation'!F8/(1+0.1)^5+'DCF Valuation'!F8*(1+0.045)/(MAX(0.1-0.045,0.0001))/(1+0.1)^5)/'DCF Valuation'!B27</f>
        <v/>
      </c>
      <c r="E9" s="33">
        <f>('DCF Valuation'!B8/(1+0.11)^1+'DCF Valuation'!C8/(1+0.11)^2+'DCF Valuation'!D8/(1+0.11)^3+'DCF Valuation'!E8/(1+0.11)^4+'DCF Valuation'!F8/(1+0.11)^5+'DCF Valuation'!F8*(1+0.045)/(MAX(0.11-0.045,0.0001))/(1+0.11)^5)/'DCF Valuation'!B27</f>
        <v/>
      </c>
      <c r="F9" s="33">
        <f>('DCF Valuation'!B8/(1+0.12)^1+'DCF Valuation'!C8/(1+0.12)^2+'DCF Valuation'!D8/(1+0.12)^3+'DCF Valuation'!E8/(1+0.12)^4+'DCF Valuation'!F8/(1+0.12)^5+'DCF Valuation'!F8*(1+0.045)/(MAX(0.12-0.045,0.0001))/(1+0.12)^5)/'DCF Valuation'!B27</f>
        <v/>
      </c>
      <c r="G9" s="33">
        <f>('DCF Valuation'!B8/(1+0.13)^1+'DCF Valuation'!C8/(1+0.13)^2+'DCF Valuation'!D8/(1+0.13)^3+'DCF Valuation'!E8/(1+0.13)^4+'DCF Valuation'!F8/(1+0.13)^5+'DCF Valuation'!F8*(1+0.045)/(MAX(0.13-0.045,0.0001))/(1+0.13)^5)/'DCF Valuation'!B27</f>
        <v/>
      </c>
      <c r="H9" s="33">
        <f>('DCF Valuation'!B8/(1+0.14)^1+'DCF Valuation'!C8/(1+0.14)^2+'DCF Valuation'!D8/(1+0.14)^3+'DCF Valuation'!E8/(1+0.14)^4+'DCF Valuation'!F8/(1+0.14)^5+'DCF Valuation'!F8*(1+0.045)/(MAX(0.14-0.045,0.0001))/(1+0.14)^5)/'DCF Valuation'!B27</f>
        <v/>
      </c>
    </row>
    <row r="10">
      <c r="A10" s="31" t="n">
        <v>0.05</v>
      </c>
      <c r="B10" s="33">
        <f>('DCF Valuation'!B8/(1+0.08)^1+'DCF Valuation'!C8/(1+0.08)^2+'DCF Valuation'!D8/(1+0.08)^3+'DCF Valuation'!E8/(1+0.08)^4+'DCF Valuation'!F8/(1+0.08)^5+'DCF Valuation'!F8*(1+0.05)/(MAX(0.08-0.05,0.0001))/(1+0.08)^5)/'DCF Valuation'!B27</f>
        <v/>
      </c>
      <c r="C10" s="33">
        <f>('DCF Valuation'!B8/(1+0.09)^1+'DCF Valuation'!C8/(1+0.09)^2+'DCF Valuation'!D8/(1+0.09)^3+'DCF Valuation'!E8/(1+0.09)^4+'DCF Valuation'!F8/(1+0.09)^5+'DCF Valuation'!F8*(1+0.05)/(MAX(0.09-0.05,0.0001))/(1+0.09)^5)/'DCF Valuation'!B27</f>
        <v/>
      </c>
      <c r="D10" s="34">
        <f>('DCF Valuation'!B8/(1+0.1)^1+'DCF Valuation'!C8/(1+0.1)^2+'DCF Valuation'!D8/(1+0.1)^3+'DCF Valuation'!E8/(1+0.1)^4+'DCF Valuation'!F8/(1+0.1)^5+'DCF Valuation'!F8*(1+0.05)/(MAX(0.1-0.05,0.0001))/(1+0.1)^5)/'DCF Valuation'!B27</f>
        <v/>
      </c>
      <c r="E10" s="33">
        <f>('DCF Valuation'!B8/(1+0.11)^1+'DCF Valuation'!C8/(1+0.11)^2+'DCF Valuation'!D8/(1+0.11)^3+'DCF Valuation'!E8/(1+0.11)^4+'DCF Valuation'!F8/(1+0.11)^5+'DCF Valuation'!F8*(1+0.05)/(MAX(0.11-0.05,0.0001))/(1+0.11)^5)/'DCF Valuation'!B27</f>
        <v/>
      </c>
      <c r="F10" s="33">
        <f>('DCF Valuation'!B8/(1+0.12)^1+'DCF Valuation'!C8/(1+0.12)^2+'DCF Valuation'!D8/(1+0.12)^3+'DCF Valuation'!E8/(1+0.12)^4+'DCF Valuation'!F8/(1+0.12)^5+'DCF Valuation'!F8*(1+0.05)/(MAX(0.12-0.05,0.0001))/(1+0.12)^5)/'DCF Valuation'!B27</f>
        <v/>
      </c>
      <c r="G10" s="33">
        <f>('DCF Valuation'!B8/(1+0.13)^1+'DCF Valuation'!C8/(1+0.13)^2+'DCF Valuation'!D8/(1+0.13)^3+'DCF Valuation'!E8/(1+0.13)^4+'DCF Valuation'!F8/(1+0.13)^5+'DCF Valuation'!F8*(1+0.05)/(MAX(0.13-0.05,0.0001))/(1+0.13)^5)/'DCF Valuation'!B27</f>
        <v/>
      </c>
      <c r="H10" s="33">
        <f>('DCF Valuation'!B8/(1+0.14)^1+'DCF Valuation'!C8/(1+0.14)^2+'DCF Valuation'!D8/(1+0.14)^3+'DCF Valuation'!E8/(1+0.14)^4+'DCF Valuation'!F8/(1+0.14)^5+'DCF Valuation'!F8*(1+0.05)/(MAX(0.14-0.05,0.0001))/(1+0.14)^5)/'DCF Valuation'!B27</f>
        <v/>
      </c>
    </row>
    <row r="12">
      <c r="A12" s="4" t="inlineStr">
        <is>
          <t>LEGEND</t>
        </is>
      </c>
      <c r="B12" s="2" t="n"/>
      <c r="C12" s="2" t="n"/>
      <c r="D12" s="3" t="n"/>
    </row>
    <row r="13">
      <c r="A13" s="7" t="inlineStr">
        <is>
          <t>Red Header</t>
        </is>
      </c>
      <c r="B13" s="36" t="inlineStr">
        <is>
          <t>Current WACC (10%) or TGR (3%) axis</t>
        </is>
      </c>
    </row>
    <row r="14">
      <c r="A14" s="7" t="inlineStr">
        <is>
          <t>Yellow Cell</t>
        </is>
      </c>
      <c r="B14" s="36" t="inlineStr">
        <is>
          <t>Base Case (WACC 10%, TGR 3%)</t>
        </is>
      </c>
    </row>
    <row r="15">
      <c r="A15" s="7" t="inlineStr">
        <is>
          <t>Peach Cell</t>
        </is>
      </c>
      <c r="B15" s="36" t="inlineStr">
        <is>
          <t>Single dimension match</t>
        </is>
      </c>
    </row>
  </sheetData>
  <mergeCells count="2">
    <mergeCell ref="A12:D1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1:I4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4" customHeight="1">
      <c r="B1" s="1" t="inlineStr">
        <is>
          <t>IDBI BANK – INVESTMENT ANALYSIS DASHBOARD</t>
        </is>
      </c>
      <c r="C1" s="2" t="n"/>
      <c r="D1" s="2" t="n"/>
      <c r="E1" s="2" t="n"/>
      <c r="F1" s="2" t="n"/>
      <c r="G1" s="2" t="n"/>
      <c r="H1" s="2" t="n"/>
      <c r="I1" s="3" t="n"/>
    </row>
    <row r="3">
      <c r="B3" s="4" t="inlineStr">
        <is>
          <t>STOCK SNAPSHOT  (April 2026)</t>
        </is>
      </c>
      <c r="C3" s="2" t="n"/>
      <c r="D3" s="2" t="n"/>
      <c r="E3" s="3" t="n"/>
    </row>
    <row r="4">
      <c r="B4" s="14" t="inlineStr">
        <is>
          <t>Current Market Price</t>
        </is>
      </c>
      <c r="D4" s="14" t="inlineStr">
        <is>
          <t>Market Cap (₹ Cr)</t>
        </is>
      </c>
      <c r="F4" s="14" t="inlineStr">
        <is>
          <t>P/E Ratio</t>
        </is>
      </c>
      <c r="H4" s="14" t="inlineStr">
        <is>
          <t>P/B Ratio</t>
        </is>
      </c>
    </row>
    <row r="5" ht="22" customHeight="1">
      <c r="B5" s="37">
        <f>Inputs!B7</f>
        <v/>
      </c>
      <c r="D5" s="38">
        <f>Inputs!B8</f>
        <v/>
      </c>
      <c r="F5" s="39">
        <f>Inputs!B12</f>
        <v/>
      </c>
      <c r="H5" s="39">
        <f>Inputs!B13</f>
        <v/>
      </c>
    </row>
    <row r="6">
      <c r="B6" s="14" t="inlineStr">
        <is>
          <t>EPS – ₹</t>
        </is>
      </c>
      <c r="D6" s="14" t="inlineStr">
        <is>
          <t>Book Value / Share – ₹</t>
        </is>
      </c>
    </row>
    <row r="7" ht="22" customHeight="1">
      <c r="B7" s="37">
        <f>Inputs!B14</f>
        <v/>
      </c>
      <c r="D7" s="37">
        <f>Inputs!B15</f>
        <v/>
      </c>
    </row>
    <row r="10">
      <c r="B10" s="4" t="inlineStr">
        <is>
          <t>VALUATION SUMMARY</t>
        </is>
      </c>
      <c r="C10" s="2" t="n"/>
      <c r="D10" s="2" t="n"/>
      <c r="E10" s="2" t="n"/>
      <c r="F10" s="2" t="n"/>
      <c r="G10" s="2" t="n"/>
      <c r="H10" s="2" t="n"/>
      <c r="I10" s="3" t="n"/>
    </row>
    <row r="11">
      <c r="B11" s="11" t="inlineStr">
        <is>
          <t>Valuation Method</t>
        </is>
      </c>
      <c r="C11" s="11" t="inlineStr">
        <is>
          <t>Implied Price (₹)</t>
        </is>
      </c>
      <c r="D11" s="11" t="inlineStr">
        <is>
          <t>CMP (₹)</t>
        </is>
      </c>
      <c r="E11" s="11" t="inlineStr">
        <is>
          <t>Upside / Downside %</t>
        </is>
      </c>
    </row>
    <row r="12">
      <c r="B12" s="7" t="inlineStr">
        <is>
          <t>DCF Valuation</t>
        </is>
      </c>
      <c r="C12" s="40">
        <f>'DCF Valuation'!B28</f>
        <v/>
      </c>
      <c r="D12" s="22">
        <f>Inputs!B7</f>
        <v/>
      </c>
      <c r="E12" s="23">
        <f>IF(D12=0,0,(C12-D12)/D12)</f>
        <v/>
      </c>
    </row>
    <row r="13">
      <c r="B13" s="7" t="inlineStr">
        <is>
          <t>Comps – EV/EBITDA</t>
        </is>
      </c>
      <c r="C13" s="40">
        <f>'Trading Comps'!E15</f>
        <v/>
      </c>
      <c r="D13" s="22">
        <f>Inputs!B7</f>
        <v/>
      </c>
      <c r="E13" s="23">
        <f>IF(D13=0,0,(C13-D13)/D13)</f>
        <v/>
      </c>
    </row>
    <row r="14">
      <c r="B14" s="7" t="inlineStr">
        <is>
          <t>Comps – EV/Revenue</t>
        </is>
      </c>
      <c r="C14" s="40">
        <f>'Trading Comps'!E16</f>
        <v/>
      </c>
      <c r="D14" s="22">
        <f>Inputs!B7</f>
        <v/>
      </c>
      <c r="E14" s="23">
        <f>IF(D14=0,0,(C14-D14)/D14)</f>
        <v/>
      </c>
    </row>
    <row r="15">
      <c r="B15" s="7" t="inlineStr">
        <is>
          <t>Comps – P/E</t>
        </is>
      </c>
      <c r="C15" s="40">
        <f>'Trading Comps'!E17</f>
        <v/>
      </c>
      <c r="D15" s="22">
        <f>Inputs!B7</f>
        <v/>
      </c>
      <c r="E15" s="23">
        <f>IF(D15=0,0,(C15-D15)/D15)</f>
        <v/>
      </c>
    </row>
    <row r="16">
      <c r="B16" s="7" t="inlineStr">
        <is>
          <t>Comps – P/B</t>
        </is>
      </c>
      <c r="C16" s="40">
        <f>'Trading Comps'!E18</f>
        <v/>
      </c>
      <c r="D16" s="22">
        <f>Inputs!B7</f>
        <v/>
      </c>
      <c r="E16" s="23">
        <f>IF(D16=0,0,(C16-D16)/D16)</f>
        <v/>
      </c>
    </row>
    <row r="17">
      <c r="B17" s="7" t="inlineStr">
        <is>
          <t>Scenario – Base Case</t>
        </is>
      </c>
      <c r="C17" s="40">
        <f>'Scenario Analysis'!B27</f>
        <v/>
      </c>
      <c r="D17" s="22">
        <f>Inputs!B7</f>
        <v/>
      </c>
      <c r="E17" s="23">
        <f>IF(D17=0,0,(C17-D17)/D17)</f>
        <v/>
      </c>
    </row>
    <row r="18">
      <c r="B18" s="7" t="inlineStr">
        <is>
          <t>Scenario – Bull Case</t>
        </is>
      </c>
      <c r="C18" s="40">
        <f>'Scenario Analysis'!C27</f>
        <v/>
      </c>
      <c r="D18" s="22">
        <f>Inputs!B7</f>
        <v/>
      </c>
      <c r="E18" s="23">
        <f>IF(D18=0,0,(C18-D18)/D18)</f>
        <v/>
      </c>
    </row>
    <row r="19">
      <c r="B19" s="7" t="inlineStr">
        <is>
          <t>Scenario – Bear Case</t>
        </is>
      </c>
      <c r="C19" s="40">
        <f>'Scenario Analysis'!D27</f>
        <v/>
      </c>
      <c r="D19" s="22">
        <f>Inputs!B7</f>
        <v/>
      </c>
      <c r="E19" s="23">
        <f>IF(D19=0,0,(C19-D19)/D19)</f>
        <v/>
      </c>
    </row>
    <row r="21">
      <c r="B21" s="4" t="inlineStr">
        <is>
          <t>KEY FINANCIAL METRICS  (FY 2024-25 Actuals)</t>
        </is>
      </c>
      <c r="C21" s="2" t="n"/>
      <c r="D21" s="2" t="n"/>
      <c r="E21" s="2" t="n"/>
      <c r="F21" s="2" t="n"/>
      <c r="G21" s="2" t="n"/>
      <c r="H21" s="2" t="n"/>
      <c r="I21" s="3" t="n"/>
    </row>
    <row r="22">
      <c r="B22" s="7" t="inlineStr">
        <is>
          <t>Interest Income (₹ Mn)</t>
        </is>
      </c>
      <c r="D22" s="7" t="inlineStr">
        <is>
          <t>NII (₹ Mn)</t>
        </is>
      </c>
      <c r="F22" s="7" t="inlineStr">
        <is>
          <t>NPAT (₹ Mn)</t>
        </is>
      </c>
      <c r="H22" s="7" t="inlineStr">
        <is>
          <t>Total Assets (₹ Cr)</t>
        </is>
      </c>
    </row>
    <row r="23">
      <c r="B23" s="41">
        <f>'3-Statements Model'!B4</f>
        <v/>
      </c>
      <c r="D23" s="41">
        <f>'3-Statements Model'!B8</f>
        <v/>
      </c>
      <c r="F23" s="41">
        <f>'3-Statements Model'!B13</f>
        <v/>
      </c>
      <c r="H23" s="41">
        <f>'3-Statements Model'!B27</f>
        <v/>
      </c>
    </row>
    <row r="24">
      <c r="B24" s="7" t="inlineStr">
        <is>
          <t>Advances (₹ Cr)</t>
        </is>
      </c>
      <c r="D24" s="7" t="inlineStr">
        <is>
          <t>Deposits (₹ Cr)</t>
        </is>
      </c>
      <c r="F24" s="7" t="inlineStr">
        <is>
          <t>ROE %</t>
        </is>
      </c>
      <c r="H24" s="7" t="inlineStr">
        <is>
          <t>ROA %</t>
        </is>
      </c>
    </row>
    <row r="25">
      <c r="B25" s="41">
        <f>'3-Statements Model'!B23</f>
        <v/>
      </c>
      <c r="D25" s="41">
        <f>'3-Statements Model'!B29</f>
        <v/>
      </c>
      <c r="F25" s="16">
        <f>Inputs!B45</f>
        <v/>
      </c>
      <c r="H25" s="16">
        <f>Inputs!B46</f>
        <v/>
      </c>
    </row>
    <row r="26">
      <c r="B26" s="7" t="inlineStr">
        <is>
          <t>NIM %</t>
        </is>
      </c>
      <c r="D26" s="7" t="inlineStr">
        <is>
          <t>Gross NPA %</t>
        </is>
      </c>
      <c r="F26" s="7" t="inlineStr">
        <is>
          <t>Net NPA %</t>
        </is>
      </c>
      <c r="H26" s="7" t="inlineStr">
        <is>
          <t>CAR %</t>
        </is>
      </c>
    </row>
    <row r="27">
      <c r="B27" s="16">
        <f>Inputs!B47</f>
        <v/>
      </c>
      <c r="D27" s="16">
        <f>Inputs!B49</f>
        <v/>
      </c>
      <c r="F27" s="16">
        <f>Inputs!B50</f>
        <v/>
      </c>
      <c r="H27" s="16">
        <f>Inputs!B51</f>
        <v/>
      </c>
    </row>
    <row r="30">
      <c r="B30" s="4" t="inlineStr">
        <is>
          <t>5-YEAR PROJECTIONS SUMMARY  (₹ Millions)</t>
        </is>
      </c>
      <c r="C30" s="2" t="n"/>
      <c r="D30" s="2" t="n"/>
      <c r="E30" s="2" t="n"/>
      <c r="F30" s="2" t="n"/>
      <c r="G30" s="2" t="n"/>
      <c r="H30" s="2" t="n"/>
      <c r="I30" s="3" t="n"/>
    </row>
    <row r="31">
      <c r="B31" s="11" t="inlineStr">
        <is>
          <t>Metric</t>
        </is>
      </c>
      <c r="C31" s="11" t="inlineStr">
        <is>
          <t>FY 2024-25</t>
        </is>
      </c>
      <c r="D31" s="11" t="inlineStr">
        <is>
          <t>FY 2025-26</t>
        </is>
      </c>
      <c r="E31" s="11" t="inlineStr">
        <is>
          <t>FY 2026-27</t>
        </is>
      </c>
      <c r="F31" s="11" t="inlineStr">
        <is>
          <t>FY 2027-28</t>
        </is>
      </c>
      <c r="G31" s="11" t="inlineStr">
        <is>
          <t>FY 2028-29</t>
        </is>
      </c>
    </row>
    <row r="32">
      <c r="B32" s="7" t="inlineStr">
        <is>
          <t>Interest Income</t>
        </is>
      </c>
      <c r="C32" s="41">
        <f>'3-Statements Model'!B4</f>
        <v/>
      </c>
      <c r="D32" s="41">
        <f>'3-Statements Model'!C4</f>
        <v/>
      </c>
      <c r="E32" s="41">
        <f>'3-Statements Model'!D4</f>
        <v/>
      </c>
      <c r="F32" s="41">
        <f>'3-Statements Model'!E4</f>
        <v/>
      </c>
      <c r="G32" s="41">
        <f>'3-Statements Model'!F4</f>
        <v/>
      </c>
    </row>
    <row r="33">
      <c r="B33" s="7" t="inlineStr">
        <is>
          <t>NII</t>
        </is>
      </c>
      <c r="C33" s="41">
        <f>'3-Statements Model'!B8</f>
        <v/>
      </c>
      <c r="D33" s="41">
        <f>'3-Statements Model'!C8</f>
        <v/>
      </c>
      <c r="E33" s="41">
        <f>'3-Statements Model'!D8</f>
        <v/>
      </c>
      <c r="F33" s="41">
        <f>'3-Statements Model'!E8</f>
        <v/>
      </c>
      <c r="G33" s="41">
        <f>'3-Statements Model'!F8</f>
        <v/>
      </c>
    </row>
    <row r="34">
      <c r="B34" s="7" t="inlineStr">
        <is>
          <t>NPAT</t>
        </is>
      </c>
      <c r="C34" s="41">
        <f>'3-Statements Model'!B13</f>
        <v/>
      </c>
      <c r="D34" s="41">
        <f>'3-Statements Model'!C13</f>
        <v/>
      </c>
      <c r="E34" s="41">
        <f>'3-Statements Model'!D13</f>
        <v/>
      </c>
      <c r="F34" s="41">
        <f>'3-Statements Model'!E13</f>
        <v/>
      </c>
      <c r="G34" s="41">
        <f>'3-Statements Model'!F13</f>
        <v/>
      </c>
    </row>
    <row r="37">
      <c r="B37" s="4" t="inlineStr">
        <is>
          <t>MODEL NOTES</t>
        </is>
      </c>
      <c r="C37" s="2" t="n"/>
      <c r="D37" s="2" t="n"/>
      <c r="E37" s="2" t="n"/>
      <c r="F37" s="2" t="n"/>
      <c r="G37" s="2" t="n"/>
      <c r="H37" s="2" t="n"/>
      <c r="I37" s="3" t="n"/>
    </row>
    <row r="38">
      <c r="B38" s="42" t="inlineStr">
        <is>
          <t>1.  P&amp;L figures in ₹ Millions; Balance Sheet in ₹ Crore.  Conversion: ÷10 for Cr→Mn used where needed.</t>
        </is>
      </c>
      <c r="C38" s="43" t="n"/>
      <c r="D38" s="43" t="n"/>
      <c r="E38" s="43" t="n"/>
      <c r="F38" s="43" t="n"/>
      <c r="G38" s="43" t="n"/>
      <c r="H38" s="43" t="n"/>
      <c r="I38" s="44" t="n"/>
    </row>
    <row r="39">
      <c r="B39" s="42" t="inlineStr">
        <is>
          <t>2.  Blue font = hardcoded inputs (Inputs sheet only). Black font = formulas in all other cells.</t>
        </is>
      </c>
      <c r="C39" s="43" t="n"/>
      <c r="D39" s="43" t="n"/>
      <c r="E39" s="43" t="n"/>
      <c r="F39" s="43" t="n"/>
      <c r="G39" s="43" t="n"/>
      <c r="H39" s="43" t="n"/>
      <c r="I39" s="44" t="n"/>
    </row>
    <row r="40">
      <c r="B40" s="42" t="inlineStr">
        <is>
          <t>3.  Scenario selector (Inputs!B) drives all P&amp;L, Cash Flow, and Valuation outputs dynamically.</t>
        </is>
      </c>
      <c r="C40" s="43" t="n"/>
      <c r="D40" s="43" t="n"/>
      <c r="E40" s="43" t="n"/>
      <c r="F40" s="43" t="n"/>
      <c r="G40" s="43" t="n"/>
      <c r="H40" s="43" t="n"/>
      <c r="I40" s="44" t="n"/>
    </row>
    <row r="41">
      <c r="B41" s="42" t="inlineStr">
        <is>
          <t>4.  DCF uses WACC ≈ 10% (Rf 6.5% + β 0.85 × ERP 7%) and terminal growth rate 3%.</t>
        </is>
      </c>
      <c r="C41" s="43" t="n"/>
      <c r="D41" s="43" t="n"/>
      <c r="E41" s="43" t="n"/>
      <c r="F41" s="43" t="n"/>
      <c r="G41" s="43" t="n"/>
      <c r="H41" s="43" t="n"/>
      <c r="I41" s="44" t="n"/>
    </row>
    <row r="42">
      <c r="B42" s="42" t="inlineStr">
        <is>
          <t>5.  Sensitivity Analysis tests WACC 8%–14% vs Terminal Growth 2%–5% in 2-way table.</t>
        </is>
      </c>
      <c r="C42" s="43" t="n"/>
      <c r="D42" s="43" t="n"/>
      <c r="E42" s="43" t="n"/>
      <c r="F42" s="43" t="n"/>
      <c r="G42" s="43" t="n"/>
      <c r="H42" s="43" t="n"/>
      <c r="I42" s="44" t="n"/>
    </row>
    <row r="43">
      <c r="B43" s="42" t="inlineStr">
        <is>
          <t>6.  Trading Comps based on peer bank data entered in Inputs sheet (April 2026 market data).</t>
        </is>
      </c>
      <c r="C43" s="43" t="n"/>
      <c r="D43" s="43" t="n"/>
      <c r="E43" s="43" t="n"/>
      <c r="F43" s="43" t="n"/>
      <c r="G43" s="43" t="n"/>
      <c r="H43" s="43" t="n"/>
      <c r="I43" s="44" t="n"/>
    </row>
  </sheetData>
  <mergeCells count="12">
    <mergeCell ref="B30:I30"/>
    <mergeCell ref="B21:I21"/>
    <mergeCell ref="B39:I39"/>
    <mergeCell ref="B38:I38"/>
    <mergeCell ref="B10:I10"/>
    <mergeCell ref="B42:I42"/>
    <mergeCell ref="B37:I37"/>
    <mergeCell ref="B3:E3"/>
    <mergeCell ref="B43:I43"/>
    <mergeCell ref="B41:I41"/>
    <mergeCell ref="B1:I1"/>
    <mergeCell ref="B40:I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2026-04-08T05:14:09Z</dcterms:created>
  <dcterms:modified xsi:type="dcterms:W3CDTF">2026-04-08T05:14:09Z</dcterms:modified>
</cp:coreProperties>
</file>